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d0ad81bf276083/ThinkPad_working/Sutor/Science/Arabidopsis_gyrase/Sequencing_results/Final_tracks/"/>
    </mc:Choice>
  </mc:AlternateContent>
  <xr:revisionPtr revIDLastSave="249" documentId="8_{A4BCC1AF-5027-4373-B745-92BFA143A8E6}" xr6:coauthVersionLast="47" xr6:coauthVersionMax="47" xr10:uidLastSave="{DF189E3D-2AD0-4320-9F81-BFCAF0C370B1}"/>
  <bookViews>
    <workbookView xWindow="-110" yWindow="-110" windowWidth="19420" windowHeight="11500" xr2:uid="{8B037BD5-A103-408F-A43A-3DE9FAC3A8FA}"/>
  </bookViews>
  <sheets>
    <sheet name="All_genes" sheetId="1" r:id="rId1"/>
    <sheet name="LEG_25" sheetId="3" r:id="rId2"/>
    <sheet name="HEG_25" sheetId="2" r:id="rId3"/>
    <sheet name="ncRN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Q2" i="4"/>
  <c r="R2" i="4" s="1"/>
  <c r="P3" i="4"/>
  <c r="Q3" i="4"/>
  <c r="R3" i="4"/>
  <c r="P4" i="4"/>
  <c r="Q4" i="4"/>
  <c r="R4" i="4" s="1"/>
  <c r="P5" i="4"/>
  <c r="Q5" i="4"/>
  <c r="R5" i="4"/>
  <c r="P6" i="4"/>
  <c r="Q6" i="4"/>
  <c r="R6" i="4" s="1"/>
  <c r="P7" i="4"/>
  <c r="Q7" i="4"/>
  <c r="R7" i="4"/>
  <c r="P8" i="4"/>
  <c r="Q8" i="4"/>
  <c r="R8" i="4" s="1"/>
  <c r="P9" i="4"/>
  <c r="Q9" i="4"/>
  <c r="R9" i="4"/>
  <c r="P10" i="4"/>
  <c r="Q10" i="4"/>
  <c r="R10" i="4" s="1"/>
  <c r="P11" i="4"/>
  <c r="Q11" i="4"/>
  <c r="R11" i="4"/>
  <c r="P12" i="4"/>
  <c r="Q12" i="4"/>
  <c r="R12" i="4" s="1"/>
  <c r="P13" i="4"/>
  <c r="Q13" i="4"/>
  <c r="R13" i="4"/>
  <c r="P14" i="4"/>
  <c r="Q14" i="4"/>
  <c r="R14" i="4" s="1"/>
  <c r="P15" i="4"/>
  <c r="Q15" i="4"/>
  <c r="R15" i="4"/>
  <c r="P16" i="4"/>
  <c r="Q16" i="4"/>
  <c r="R16" i="4" s="1"/>
  <c r="P17" i="4"/>
  <c r="Q17" i="4"/>
  <c r="R17" i="4"/>
  <c r="P18" i="4"/>
  <c r="Q18" i="4"/>
  <c r="R18" i="4" s="1"/>
  <c r="P19" i="4"/>
  <c r="Q19" i="4"/>
  <c r="R19" i="4"/>
  <c r="P20" i="4"/>
  <c r="Q20" i="4"/>
  <c r="R20" i="4" s="1"/>
  <c r="P21" i="4"/>
  <c r="Q21" i="4"/>
  <c r="R21" i="4"/>
  <c r="P22" i="4"/>
  <c r="Q22" i="4"/>
  <c r="R22" i="4" s="1"/>
  <c r="P23" i="4"/>
  <c r="Q23" i="4"/>
  <c r="R23" i="4"/>
  <c r="P24" i="4"/>
  <c r="Q24" i="4"/>
  <c r="R24" i="4" s="1"/>
  <c r="P25" i="4"/>
  <c r="Q25" i="4"/>
  <c r="R25" i="4"/>
  <c r="P26" i="4"/>
  <c r="Q26" i="4"/>
  <c r="R26" i="4" s="1"/>
  <c r="P27" i="4"/>
  <c r="Q27" i="4"/>
  <c r="R27" i="4"/>
  <c r="P28" i="4"/>
  <c r="Q28" i="4"/>
  <c r="R28" i="4" s="1"/>
  <c r="P29" i="4"/>
  <c r="Q29" i="4"/>
  <c r="R29" i="4"/>
  <c r="P30" i="4"/>
  <c r="Q30" i="4"/>
  <c r="R30" i="4" s="1"/>
  <c r="P31" i="4"/>
  <c r="Q31" i="4"/>
  <c r="R31" i="4"/>
  <c r="P32" i="4"/>
  <c r="Q32" i="4"/>
  <c r="R32" i="4" s="1"/>
  <c r="P33" i="4"/>
  <c r="Q33" i="4"/>
  <c r="R33" i="4"/>
  <c r="P34" i="4"/>
  <c r="Q34" i="4"/>
  <c r="R34" i="4" s="1"/>
  <c r="P35" i="4"/>
  <c r="Q35" i="4"/>
  <c r="R35" i="4"/>
  <c r="P36" i="4"/>
  <c r="Q36" i="4"/>
  <c r="R36" i="4" s="1"/>
  <c r="P37" i="4"/>
  <c r="Q37" i="4"/>
  <c r="R37" i="4"/>
  <c r="P38" i="4"/>
  <c r="Q38" i="4"/>
  <c r="R38" i="4" s="1"/>
  <c r="P39" i="4"/>
  <c r="Q39" i="4"/>
  <c r="R39" i="4"/>
  <c r="P40" i="4"/>
  <c r="Q40" i="4"/>
  <c r="R40" i="4" s="1"/>
  <c r="P41" i="4"/>
  <c r="Q41" i="4"/>
  <c r="R41" i="4"/>
  <c r="P42" i="4"/>
  <c r="Q42" i="4"/>
  <c r="R42" i="4" s="1"/>
  <c r="P43" i="4"/>
  <c r="Q43" i="4"/>
  <c r="R43" i="4"/>
  <c r="P44" i="4"/>
  <c r="Q44" i="4"/>
  <c r="R44" i="4" s="1"/>
  <c r="P45" i="4"/>
  <c r="Q45" i="4"/>
  <c r="R45" i="4"/>
  <c r="P46" i="4"/>
  <c r="Q46" i="4"/>
  <c r="R46" i="4" s="1"/>
  <c r="P47" i="4"/>
  <c r="Q47" i="4"/>
  <c r="R47" i="4"/>
  <c r="P48" i="4"/>
  <c r="Q48" i="4"/>
  <c r="R48" i="4" s="1"/>
  <c r="P49" i="4"/>
  <c r="Q49" i="4"/>
  <c r="R49" i="4"/>
  <c r="P50" i="4"/>
  <c r="Q50" i="4"/>
  <c r="R50" i="4" s="1"/>
  <c r="P51" i="4"/>
  <c r="Q51" i="4"/>
  <c r="R51" i="4"/>
  <c r="P52" i="4"/>
  <c r="Q52" i="4"/>
  <c r="R52" i="4" s="1"/>
  <c r="P53" i="4"/>
  <c r="Q53" i="4"/>
  <c r="R53" i="4"/>
  <c r="P54" i="4"/>
  <c r="Q54" i="4"/>
  <c r="R54" i="4" s="1"/>
  <c r="P55" i="4"/>
  <c r="Q55" i="4"/>
  <c r="R55" i="4"/>
  <c r="P56" i="4"/>
  <c r="Q56" i="4"/>
  <c r="R56" i="4" s="1"/>
  <c r="P57" i="4"/>
  <c r="Q57" i="4"/>
  <c r="R57" i="4"/>
  <c r="P58" i="4"/>
  <c r="Q58" i="4"/>
  <c r="R58" i="4" s="1"/>
  <c r="P59" i="4"/>
  <c r="Q59" i="4"/>
  <c r="R59" i="4"/>
  <c r="P60" i="4"/>
  <c r="Q60" i="4"/>
  <c r="R60" i="4" s="1"/>
  <c r="P61" i="4"/>
  <c r="Q61" i="4"/>
  <c r="R61" i="4"/>
  <c r="P62" i="4"/>
  <c r="Q62" i="4"/>
  <c r="R62" i="4" s="1"/>
  <c r="P63" i="4"/>
  <c r="Q63" i="4"/>
  <c r="R63" i="4"/>
  <c r="P64" i="4"/>
  <c r="Q64" i="4"/>
  <c r="R64" i="4" s="1"/>
  <c r="P65" i="4"/>
  <c r="Q65" i="4"/>
  <c r="R65" i="4"/>
  <c r="P66" i="4"/>
  <c r="Q66" i="4"/>
  <c r="R66" i="4" s="1"/>
  <c r="P67" i="4"/>
  <c r="Q67" i="4"/>
  <c r="R67" i="4"/>
  <c r="P68" i="4"/>
  <c r="Q68" i="4"/>
  <c r="R68" i="4" s="1"/>
  <c r="P69" i="4"/>
  <c r="Q69" i="4"/>
  <c r="R69" i="4"/>
  <c r="P70" i="4"/>
  <c r="Q70" i="4"/>
  <c r="R70" i="4" s="1"/>
  <c r="P71" i="4"/>
  <c r="Q71" i="4"/>
  <c r="R71" i="4"/>
  <c r="P72" i="4"/>
  <c r="Q72" i="4"/>
  <c r="R72" i="4" s="1"/>
  <c r="P73" i="4"/>
  <c r="Q73" i="4"/>
  <c r="R73" i="4"/>
  <c r="P74" i="4"/>
  <c r="Q74" i="4"/>
  <c r="R74" i="4" s="1"/>
  <c r="P75" i="4"/>
  <c r="Q75" i="4"/>
  <c r="R75" i="4"/>
  <c r="P76" i="4"/>
  <c r="Q76" i="4"/>
  <c r="R76" i="4" s="1"/>
  <c r="P77" i="4"/>
  <c r="Q77" i="4"/>
  <c r="R77" i="4"/>
  <c r="P78" i="4"/>
  <c r="Q78" i="4"/>
  <c r="R78" i="4" s="1"/>
  <c r="P79" i="4"/>
  <c r="Q79" i="4"/>
  <c r="R79" i="4"/>
  <c r="P80" i="4"/>
  <c r="Q80" i="4"/>
  <c r="R80" i="4" s="1"/>
  <c r="P81" i="4"/>
  <c r="Q81" i="4"/>
  <c r="R81" i="4"/>
  <c r="P82" i="4"/>
  <c r="Q82" i="4"/>
  <c r="R82" i="4" s="1"/>
  <c r="P83" i="4"/>
  <c r="Q83" i="4"/>
  <c r="R83" i="4"/>
  <c r="P84" i="4"/>
  <c r="Q84" i="4"/>
  <c r="R84" i="4" s="1"/>
  <c r="P85" i="4"/>
  <c r="Q85" i="4"/>
  <c r="R85" i="4"/>
  <c r="P86" i="4"/>
  <c r="Q86" i="4"/>
  <c r="R86" i="4" s="1"/>
  <c r="P87" i="4"/>
  <c r="Q87" i="4"/>
  <c r="R87" i="4"/>
  <c r="P88" i="4"/>
  <c r="Q88" i="4"/>
  <c r="R88" i="4" s="1"/>
  <c r="P89" i="4"/>
  <c r="Q89" i="4"/>
  <c r="R89" i="4"/>
  <c r="P90" i="4"/>
  <c r="Q90" i="4"/>
  <c r="R90" i="4" s="1"/>
  <c r="P91" i="4"/>
  <c r="Q91" i="4"/>
  <c r="R91" i="4"/>
  <c r="P92" i="4"/>
  <c r="Q92" i="4"/>
  <c r="R92" i="4" s="1"/>
  <c r="P93" i="4"/>
  <c r="Q93" i="4"/>
  <c r="R93" i="4"/>
  <c r="P94" i="4"/>
  <c r="Q94" i="4"/>
  <c r="R94" i="4" s="1"/>
  <c r="P95" i="4"/>
  <c r="Q95" i="4"/>
  <c r="R95" i="4"/>
  <c r="P96" i="4"/>
  <c r="Q96" i="4"/>
  <c r="R96" i="4" s="1"/>
  <c r="P97" i="4"/>
  <c r="Q97" i="4"/>
  <c r="R97" i="4"/>
  <c r="P98" i="4"/>
  <c r="Q98" i="4"/>
  <c r="R98" i="4" s="1"/>
  <c r="P99" i="4"/>
  <c r="Q99" i="4"/>
  <c r="R99" i="4"/>
  <c r="P100" i="4"/>
  <c r="Q100" i="4"/>
  <c r="R100" i="4" s="1"/>
  <c r="P101" i="4"/>
  <c r="Q101" i="4"/>
  <c r="R101" i="4"/>
  <c r="P102" i="4"/>
  <c r="Q102" i="4"/>
  <c r="R102" i="4" s="1"/>
  <c r="P103" i="4"/>
  <c r="Q103" i="4"/>
  <c r="R103" i="4"/>
  <c r="P104" i="4"/>
  <c r="Q104" i="4"/>
  <c r="R104" i="4" s="1"/>
  <c r="P105" i="4"/>
  <c r="Q105" i="4"/>
  <c r="R105" i="4"/>
  <c r="P106" i="4"/>
  <c r="Q106" i="4"/>
  <c r="R106" i="4" s="1"/>
  <c r="P107" i="4"/>
  <c r="Q107" i="4"/>
  <c r="R107" i="4"/>
  <c r="P108" i="4"/>
  <c r="Q108" i="4"/>
  <c r="R108" i="4" s="1"/>
  <c r="P109" i="4"/>
  <c r="Q109" i="4"/>
  <c r="R109" i="4"/>
  <c r="P110" i="4"/>
  <c r="Q110" i="4"/>
  <c r="R110" i="4" s="1"/>
  <c r="P111" i="4"/>
  <c r="Q111" i="4"/>
  <c r="R111" i="4"/>
  <c r="P112" i="4"/>
  <c r="Q112" i="4"/>
  <c r="R112" i="4" s="1"/>
  <c r="P113" i="4"/>
  <c r="Q113" i="4"/>
  <c r="R113" i="4"/>
  <c r="P114" i="4"/>
  <c r="Q114" i="4"/>
  <c r="R114" i="4" s="1"/>
  <c r="P115" i="4"/>
  <c r="Q115" i="4"/>
  <c r="R115" i="4"/>
  <c r="P116" i="4"/>
  <c r="Q116" i="4"/>
  <c r="R116" i="4" s="1"/>
  <c r="P117" i="4"/>
  <c r="Q117" i="4"/>
  <c r="R117" i="4"/>
  <c r="P118" i="4"/>
  <c r="Q118" i="4"/>
  <c r="R118" i="4" s="1"/>
  <c r="P119" i="4"/>
  <c r="Q119" i="4"/>
  <c r="R119" i="4"/>
  <c r="P120" i="4"/>
  <c r="Q120" i="4"/>
  <c r="R120" i="4" s="1"/>
  <c r="P121" i="4"/>
  <c r="Q121" i="4"/>
  <c r="R121" i="4"/>
  <c r="P122" i="4"/>
  <c r="Q122" i="4"/>
  <c r="R122" i="4" s="1"/>
  <c r="P123" i="4"/>
  <c r="Q123" i="4"/>
  <c r="R123" i="4"/>
  <c r="P124" i="4"/>
  <c r="Q124" i="4"/>
  <c r="R124" i="4" s="1"/>
  <c r="P125" i="4"/>
  <c r="Q125" i="4"/>
  <c r="R125" i="4"/>
  <c r="P126" i="4"/>
  <c r="Q126" i="4"/>
  <c r="R126" i="4" s="1"/>
  <c r="P127" i="4"/>
  <c r="Q127" i="4"/>
  <c r="R127" i="4"/>
  <c r="P128" i="4"/>
  <c r="Q128" i="4"/>
  <c r="R128" i="4" s="1"/>
  <c r="P129" i="4"/>
  <c r="Q129" i="4"/>
  <c r="R129" i="4"/>
  <c r="P130" i="4"/>
  <c r="Q130" i="4"/>
  <c r="R130" i="4" s="1"/>
  <c r="P131" i="4"/>
  <c r="Q131" i="4"/>
  <c r="R131" i="4"/>
  <c r="P132" i="4"/>
  <c r="Q132" i="4"/>
  <c r="R132" i="4" s="1"/>
  <c r="P133" i="4"/>
  <c r="Q133" i="4"/>
  <c r="R133" i="4"/>
  <c r="P134" i="4"/>
  <c r="Q134" i="4"/>
  <c r="R134" i="4" s="1"/>
  <c r="P135" i="4"/>
  <c r="Q135" i="4"/>
  <c r="R135" i="4"/>
  <c r="P136" i="4"/>
  <c r="Q136" i="4"/>
  <c r="R136" i="4" s="1"/>
  <c r="P137" i="4"/>
  <c r="Q137" i="4"/>
  <c r="R137" i="4"/>
  <c r="P138" i="4"/>
  <c r="Q138" i="4"/>
  <c r="R138" i="4" s="1"/>
  <c r="P139" i="4"/>
  <c r="Q139" i="4"/>
  <c r="R139" i="4"/>
  <c r="P140" i="4"/>
  <c r="Q140" i="4"/>
  <c r="R140" i="4" s="1"/>
  <c r="P141" i="4"/>
  <c r="Q141" i="4"/>
  <c r="R141" i="4"/>
  <c r="P142" i="4"/>
  <c r="Q142" i="4"/>
  <c r="R142" i="4" s="1"/>
  <c r="P143" i="4"/>
  <c r="Q143" i="4"/>
  <c r="R143" i="4"/>
  <c r="P144" i="4"/>
  <c r="Q144" i="4"/>
  <c r="R144" i="4" s="1"/>
  <c r="P145" i="4"/>
  <c r="Q145" i="4"/>
  <c r="R145" i="4"/>
  <c r="P146" i="4"/>
  <c r="Q146" i="4"/>
  <c r="R146" i="4" s="1"/>
  <c r="P147" i="4"/>
  <c r="Q147" i="4"/>
  <c r="R147" i="4"/>
  <c r="P148" i="4"/>
  <c r="Q148" i="4"/>
  <c r="R148" i="4" s="1"/>
  <c r="P149" i="4"/>
  <c r="Q149" i="4"/>
  <c r="R149" i="4"/>
  <c r="P150" i="4"/>
  <c r="Q150" i="4"/>
  <c r="R150" i="4" s="1"/>
  <c r="P151" i="4"/>
  <c r="Q151" i="4"/>
  <c r="R151" i="4"/>
  <c r="P152" i="4"/>
  <c r="Q152" i="4"/>
  <c r="R152" i="4" s="1"/>
  <c r="P153" i="4"/>
  <c r="Q153" i="4"/>
  <c r="R153" i="4"/>
  <c r="P154" i="4"/>
  <c r="Q154" i="4"/>
  <c r="R154" i="4" s="1"/>
  <c r="P155" i="4"/>
  <c r="Q155" i="4"/>
  <c r="R155" i="4"/>
  <c r="P156" i="4"/>
  <c r="Q156" i="4"/>
  <c r="R156" i="4" s="1"/>
  <c r="P157" i="4"/>
  <c r="Q157" i="4"/>
  <c r="R157" i="4"/>
  <c r="P158" i="4"/>
  <c r="Q158" i="4"/>
  <c r="R158" i="4" s="1"/>
  <c r="P159" i="4"/>
  <c r="Q159" i="4"/>
  <c r="R159" i="4"/>
  <c r="P160" i="4"/>
  <c r="Q160" i="4"/>
  <c r="R160" i="4" s="1"/>
  <c r="P161" i="4"/>
  <c r="Q161" i="4"/>
  <c r="R161" i="4"/>
  <c r="P162" i="4"/>
  <c r="Q162" i="4"/>
  <c r="R162" i="4" s="1"/>
  <c r="P163" i="4"/>
  <c r="Q163" i="4"/>
  <c r="R163" i="4"/>
  <c r="P164" i="4"/>
  <c r="Q164" i="4"/>
  <c r="R164" i="4" s="1"/>
  <c r="P165" i="4"/>
  <c r="Q165" i="4"/>
  <c r="R165" i="4"/>
  <c r="P166" i="4"/>
  <c r="Q166" i="4"/>
  <c r="R166" i="4" s="1"/>
  <c r="P167" i="4"/>
  <c r="Q167" i="4"/>
  <c r="R167" i="4"/>
  <c r="P168" i="4"/>
  <c r="Q168" i="4"/>
  <c r="R168" i="4" s="1"/>
  <c r="P169" i="4"/>
  <c r="Q169" i="4"/>
  <c r="R169" i="4"/>
  <c r="P170" i="4"/>
  <c r="Q170" i="4"/>
  <c r="R170" i="4" s="1"/>
  <c r="P171" i="4"/>
  <c r="Q171" i="4"/>
  <c r="R171" i="4"/>
  <c r="P172" i="4"/>
  <c r="Q172" i="4"/>
  <c r="R172" i="4" s="1"/>
  <c r="P173" i="4"/>
  <c r="Q173" i="4"/>
  <c r="R173" i="4"/>
  <c r="P174" i="4"/>
  <c r="Q174" i="4"/>
  <c r="R174" i="4" s="1"/>
  <c r="P175" i="4"/>
  <c r="Q175" i="4"/>
  <c r="R175" i="4"/>
  <c r="P176" i="4"/>
  <c r="Q176" i="4"/>
  <c r="R176" i="4" s="1"/>
  <c r="P177" i="4"/>
  <c r="Q177" i="4"/>
  <c r="R177" i="4"/>
  <c r="P178" i="4"/>
  <c r="Q178" i="4"/>
  <c r="R178" i="4" s="1"/>
  <c r="P179" i="4"/>
  <c r="Q179" i="4"/>
  <c r="R179" i="4"/>
  <c r="P180" i="4"/>
  <c r="Q180" i="4"/>
  <c r="R180" i="4" s="1"/>
  <c r="P181" i="4"/>
  <c r="Q181" i="4"/>
  <c r="R181" i="4"/>
  <c r="P182" i="4"/>
  <c r="Q182" i="4"/>
  <c r="R182" i="4" s="1"/>
  <c r="P183" i="4"/>
  <c r="Q183" i="4"/>
  <c r="R183" i="4"/>
  <c r="P184" i="4"/>
  <c r="Q184" i="4"/>
  <c r="R184" i="4" s="1"/>
  <c r="P185" i="4"/>
  <c r="Q185" i="4"/>
  <c r="R185" i="4"/>
  <c r="P186" i="4"/>
  <c r="Q186" i="4"/>
  <c r="R186" i="4" s="1"/>
  <c r="P187" i="4"/>
  <c r="Q187" i="4"/>
  <c r="R187" i="4"/>
  <c r="P188" i="4"/>
  <c r="Q188" i="4"/>
  <c r="R188" i="4" s="1"/>
  <c r="P189" i="4"/>
  <c r="Q189" i="4"/>
  <c r="R189" i="4"/>
  <c r="P190" i="4"/>
  <c r="Q190" i="4"/>
  <c r="R190" i="4" s="1"/>
  <c r="P191" i="4"/>
  <c r="Q191" i="4"/>
  <c r="R191" i="4"/>
  <c r="P192" i="4"/>
  <c r="Q192" i="4"/>
  <c r="R192" i="4" s="1"/>
  <c r="P193" i="4"/>
  <c r="Q193" i="4"/>
  <c r="R193" i="4"/>
  <c r="P194" i="4"/>
  <c r="Q194" i="4"/>
  <c r="R194" i="4" s="1"/>
  <c r="P195" i="4"/>
  <c r="Q195" i="4"/>
  <c r="R195" i="4"/>
  <c r="P196" i="4"/>
  <c r="Q196" i="4"/>
  <c r="R196" i="4" s="1"/>
  <c r="P197" i="4"/>
  <c r="Q197" i="4"/>
  <c r="R197" i="4"/>
  <c r="P198" i="4"/>
  <c r="Q198" i="4"/>
  <c r="R198" i="4" s="1"/>
  <c r="P199" i="4"/>
  <c r="Q199" i="4"/>
  <c r="R199" i="4"/>
  <c r="P200" i="4"/>
  <c r="Q200" i="4"/>
  <c r="R200" i="4" s="1"/>
  <c r="P201" i="4"/>
  <c r="Q201" i="4"/>
  <c r="R201" i="4"/>
  <c r="P202" i="4"/>
  <c r="Q202" i="4"/>
  <c r="R202" i="4" s="1"/>
  <c r="P203" i="4"/>
  <c r="Q203" i="4"/>
  <c r="R203" i="4"/>
  <c r="P204" i="4"/>
  <c r="Q204" i="4"/>
  <c r="R204" i="4" s="1"/>
  <c r="P205" i="4"/>
  <c r="Q205" i="4"/>
  <c r="R205" i="4"/>
  <c r="P206" i="4"/>
  <c r="Q206" i="4"/>
  <c r="R206" i="4" s="1"/>
  <c r="P207" i="4"/>
  <c r="Q207" i="4"/>
  <c r="R207" i="4"/>
  <c r="P208" i="4"/>
  <c r="Q208" i="4"/>
  <c r="R208" i="4" s="1"/>
  <c r="P39" i="1"/>
  <c r="Q39" i="1"/>
  <c r="P27" i="1"/>
  <c r="Q27" i="1"/>
  <c r="P59" i="1"/>
  <c r="Q59" i="1"/>
  <c r="P30" i="1"/>
  <c r="Q30" i="1"/>
  <c r="P38" i="1"/>
  <c r="Q38" i="1"/>
  <c r="P44" i="1"/>
  <c r="Q44" i="1"/>
  <c r="P40" i="1"/>
  <c r="Q40" i="1"/>
  <c r="P14" i="1"/>
  <c r="Q14" i="1"/>
  <c r="P7" i="1"/>
  <c r="Q7" i="1"/>
  <c r="P11" i="1"/>
  <c r="Q11" i="1"/>
  <c r="P8" i="1"/>
  <c r="Q8" i="1"/>
  <c r="P55" i="1"/>
  <c r="Q55" i="1"/>
  <c r="P43" i="1"/>
  <c r="Q43" i="1"/>
  <c r="P57" i="1"/>
  <c r="Q57" i="1"/>
  <c r="P51" i="1"/>
  <c r="Q51" i="1"/>
  <c r="P20" i="1"/>
  <c r="Q20" i="1"/>
  <c r="P32" i="1"/>
  <c r="Q32" i="1"/>
  <c r="P25" i="1"/>
  <c r="Q25" i="1"/>
  <c r="P61" i="1"/>
  <c r="Q61" i="1"/>
  <c r="P6" i="1"/>
  <c r="Q6" i="1"/>
  <c r="P49" i="1"/>
  <c r="Q49" i="1"/>
  <c r="P53" i="1"/>
  <c r="Q53" i="1"/>
  <c r="P12" i="1"/>
  <c r="Q12" i="1"/>
  <c r="P15" i="1"/>
  <c r="Q15" i="1"/>
  <c r="R15" i="1" s="1"/>
  <c r="P16" i="1"/>
  <c r="Q16" i="1"/>
  <c r="P56" i="1"/>
  <c r="Q56" i="1"/>
  <c r="P21" i="1"/>
  <c r="Q21" i="1"/>
  <c r="P26" i="1"/>
  <c r="Q26" i="1"/>
  <c r="P46" i="1"/>
  <c r="Q46" i="1"/>
  <c r="P9" i="1"/>
  <c r="Q9" i="1"/>
  <c r="P3" i="1"/>
  <c r="Q3" i="1"/>
  <c r="P45" i="1"/>
  <c r="Q45" i="1"/>
  <c r="P37" i="1"/>
  <c r="Q37" i="1"/>
  <c r="P10" i="1"/>
  <c r="Q10" i="1"/>
  <c r="P28" i="1"/>
  <c r="Q28" i="1"/>
  <c r="P33" i="1"/>
  <c r="Q33" i="1"/>
  <c r="P31" i="1"/>
  <c r="Q31" i="1"/>
  <c r="P24" i="1"/>
  <c r="Q24" i="1"/>
  <c r="P23" i="1"/>
  <c r="Q23" i="1"/>
  <c r="P35" i="1"/>
  <c r="Q35" i="1"/>
  <c r="P29" i="1"/>
  <c r="Q29" i="1"/>
  <c r="P50" i="1"/>
  <c r="Q50" i="1"/>
  <c r="P60" i="1"/>
  <c r="Q60" i="1"/>
  <c r="P62" i="1"/>
  <c r="Q62" i="1"/>
  <c r="P42" i="1"/>
  <c r="Q42" i="1"/>
  <c r="P52" i="1"/>
  <c r="Q52" i="1"/>
  <c r="P2" i="1"/>
  <c r="Q2" i="1"/>
  <c r="P34" i="1"/>
  <c r="Q34" i="1"/>
  <c r="P36" i="1"/>
  <c r="Q36" i="1"/>
  <c r="P19" i="1"/>
  <c r="Q19" i="1"/>
  <c r="P5" i="1"/>
  <c r="Q5" i="1"/>
  <c r="P54" i="1"/>
  <c r="Q54" i="1"/>
  <c r="P22" i="1"/>
  <c r="Q22" i="1"/>
  <c r="P18" i="1"/>
  <c r="Q18" i="1"/>
  <c r="P4" i="1"/>
  <c r="Q4" i="1"/>
  <c r="R4" i="1" s="1"/>
  <c r="P13" i="1"/>
  <c r="Q13" i="1"/>
  <c r="P47" i="1"/>
  <c r="Q47" i="1"/>
  <c r="P58" i="1"/>
  <c r="Q58" i="1"/>
  <c r="P17" i="1"/>
  <c r="Q17" i="1"/>
  <c r="P48" i="1"/>
  <c r="Q48" i="1"/>
  <c r="P41" i="1"/>
  <c r="Q41" i="1"/>
  <c r="R12" i="1" l="1"/>
  <c r="R62" i="1"/>
  <c r="R14" i="1"/>
  <c r="R13" i="1"/>
  <c r="R52" i="1"/>
  <c r="R9" i="1"/>
  <c r="R21" i="1"/>
  <c r="R16" i="1"/>
  <c r="R2" i="1"/>
  <c r="R42" i="1"/>
  <c r="R33" i="1"/>
  <c r="R10" i="1"/>
  <c r="R32" i="1"/>
  <c r="R55" i="1"/>
  <c r="R53" i="1"/>
  <c r="R20" i="1"/>
  <c r="R11" i="1"/>
  <c r="R27" i="1"/>
  <c r="R48" i="1"/>
  <c r="R18" i="1"/>
  <c r="R22" i="1"/>
  <c r="R23" i="1"/>
  <c r="R41" i="1"/>
  <c r="R37" i="1"/>
  <c r="R44" i="1"/>
  <c r="R45" i="1"/>
  <c r="R34" i="1"/>
  <c r="R58" i="1"/>
  <c r="R29" i="1"/>
  <c r="R39" i="1"/>
  <c r="R17" i="1"/>
  <c r="R38" i="1"/>
  <c r="R7" i="1"/>
  <c r="R35" i="1"/>
  <c r="R3" i="1"/>
  <c r="R46" i="1"/>
  <c r="R8" i="1"/>
  <c r="R40" i="1"/>
  <c r="R30" i="1"/>
  <c r="R36" i="1"/>
  <c r="R59" i="1"/>
  <c r="R56" i="1"/>
  <c r="R25" i="1"/>
  <c r="R26" i="1"/>
  <c r="R60" i="1"/>
  <c r="R31" i="1"/>
  <c r="R49" i="1"/>
  <c r="R24" i="1"/>
  <c r="R28" i="1"/>
  <c r="R57" i="1"/>
  <c r="R54" i="1"/>
  <c r="R61" i="1"/>
  <c r="R6" i="1"/>
  <c r="R43" i="1"/>
  <c r="R19" i="1"/>
  <c r="R51" i="1"/>
  <c r="R47" i="1"/>
  <c r="R5" i="1"/>
  <c r="R50" i="1"/>
</calcChain>
</file>

<file path=xl/sharedStrings.xml><?xml version="1.0" encoding="utf-8"?>
<sst xmlns="http://schemas.openxmlformats.org/spreadsheetml/2006/main" count="2290" uniqueCount="294">
  <si>
    <t>#chrom</t>
  </si>
  <si>
    <t>st</t>
  </si>
  <si>
    <t>end</t>
  </si>
  <si>
    <t>accession</t>
  </si>
  <si>
    <t>FPKM_average</t>
  </si>
  <si>
    <t>gene_strand</t>
  </si>
  <si>
    <t>color</t>
  </si>
  <si>
    <t>mRNA_size</t>
  </si>
  <si>
    <t>blockSizes</t>
  </si>
  <si>
    <t>blockStarts</t>
  </si>
  <si>
    <t>BK010421.1</t>
  </si>
  <si>
    <t>-</t>
  </si>
  <si>
    <t>ncRNA</t>
  </si>
  <si>
    <t>+</t>
  </si>
  <si>
    <t>Product</t>
  </si>
  <si>
    <t>cox2</t>
  </si>
  <si>
    <t>protein_coding</t>
  </si>
  <si>
    <t>ccmB</t>
  </si>
  <si>
    <t>tRNA</t>
  </si>
  <si>
    <t>rps3</t>
  </si>
  <si>
    <t>rpl16</t>
  </si>
  <si>
    <t>nad9</t>
  </si>
  <si>
    <t>nad5</t>
  </si>
  <si>
    <t>atp6</t>
  </si>
  <si>
    <t>atp1</t>
  </si>
  <si>
    <t>rps7</t>
  </si>
  <si>
    <t>nad1</t>
  </si>
  <si>
    <t>nad2</t>
  </si>
  <si>
    <t>trnY-2</t>
  </si>
  <si>
    <t>trnM</t>
  </si>
  <si>
    <t>cox1</t>
  </si>
  <si>
    <t>trnH</t>
  </si>
  <si>
    <t>rrn5</t>
  </si>
  <si>
    <t>rrn18</t>
  </si>
  <si>
    <t>rrn26</t>
  </si>
  <si>
    <t>trnfM</t>
  </si>
  <si>
    <t>rps4</t>
  </si>
  <si>
    <t>nad6</t>
  </si>
  <si>
    <t>trnfM-2</t>
  </si>
  <si>
    <t>trnS</t>
  </si>
  <si>
    <t>cob</t>
  </si>
  <si>
    <t>rpl5</t>
  </si>
  <si>
    <t>trnG</t>
  </si>
  <si>
    <t>ccmFC</t>
  </si>
  <si>
    <t>nad4</t>
  </si>
  <si>
    <t>mttB</t>
  </si>
  <si>
    <t>rpl2</t>
  </si>
  <si>
    <t>matR</t>
  </si>
  <si>
    <t>nad7</t>
  </si>
  <si>
    <t>atp8</t>
  </si>
  <si>
    <t>tRNAI</t>
  </si>
  <si>
    <t>trnS-2</t>
  </si>
  <si>
    <t>atp6-2</t>
  </si>
  <si>
    <t>atp9</t>
  </si>
  <si>
    <t>trnD</t>
  </si>
  <si>
    <t>nad3</t>
  </si>
  <si>
    <t>rps12</t>
  </si>
  <si>
    <t>ccmFN2</t>
  </si>
  <si>
    <t>trnQ</t>
  </si>
  <si>
    <t>trnW</t>
  </si>
  <si>
    <t>ccmC</t>
  </si>
  <si>
    <t>ccmFN1</t>
  </si>
  <si>
    <t>trnE</t>
  </si>
  <si>
    <t>cox3</t>
  </si>
  <si>
    <t>trnK-2</t>
  </si>
  <si>
    <t>nad4L</t>
  </si>
  <si>
    <t>atp4</t>
  </si>
  <si>
    <t>255,0,0</t>
  </si>
  <si>
    <t>1</t>
  </si>
  <si>
    <t>0,</t>
  </si>
  <si>
    <t>nad2-2</t>
  </si>
  <si>
    <t>nad5-2</t>
  </si>
  <si>
    <t>nad5-3</t>
  </si>
  <si>
    <t>trnC</t>
  </si>
  <si>
    <t>trnK</t>
  </si>
  <si>
    <t>trnN</t>
  </si>
  <si>
    <t>trnP</t>
  </si>
  <si>
    <t>trnS-3</t>
  </si>
  <si>
    <t>trnS-4</t>
  </si>
  <si>
    <t>trnS-5</t>
  </si>
  <si>
    <t>trnY</t>
  </si>
  <si>
    <t>FPKM_1</t>
  </si>
  <si>
    <t>FPKM_2</t>
  </si>
  <si>
    <t>FPKM_3</t>
  </si>
  <si>
    <t>FPKM_std</t>
  </si>
  <si>
    <t>std/average</t>
  </si>
  <si>
    <t>cosRNA_M112</t>
  </si>
  <si>
    <t>cosRNA_M194</t>
  </si>
  <si>
    <t>cosRNA_M113</t>
  </si>
  <si>
    <t>cosRNA_M114</t>
  </si>
  <si>
    <t>cosRNA_M1</t>
  </si>
  <si>
    <t>cosRNA_M115</t>
  </si>
  <si>
    <t>cosRNA_M2</t>
  </si>
  <si>
    <t>cosRNA_M116</t>
  </si>
  <si>
    <t>cosRNA_M3</t>
  </si>
  <si>
    <t>cosRNA_M195</t>
  </si>
  <si>
    <t>cosRNA_M117</t>
  </si>
  <si>
    <t>cosRNA_M74</t>
  </si>
  <si>
    <t>cosRNA_M118</t>
  </si>
  <si>
    <t>cosRNA_M76</t>
  </si>
  <si>
    <t>cosRNA_M196</t>
  </si>
  <si>
    <t>cosRNA_M77</t>
  </si>
  <si>
    <t>cosRNA_M5</t>
  </si>
  <si>
    <t>cosRNA_M78</t>
  </si>
  <si>
    <t>cosRNA_M79</t>
  </si>
  <si>
    <t>cosRNA_M6</t>
  </si>
  <si>
    <t>cosRNA_M119</t>
  </si>
  <si>
    <t>cosRNA_M7</t>
  </si>
  <si>
    <t>cosRNA_M8</t>
  </si>
  <si>
    <t>cosRNA_M9</t>
  </si>
  <si>
    <t>cosRNA_M152</t>
  </si>
  <si>
    <t>cosRNA_M210</t>
  </si>
  <si>
    <t>cosRNA_M150</t>
  </si>
  <si>
    <t>cosRNA_M149</t>
  </si>
  <si>
    <t>cosRNA_M148</t>
  </si>
  <si>
    <t>cosRNA_M145</t>
  </si>
  <si>
    <t>cosRNA_M92</t>
  </si>
  <si>
    <t>cosRNA_M143</t>
  </si>
  <si>
    <t>cosRNA_M207</t>
  </si>
  <si>
    <t>cosRNA_M206</t>
  </si>
  <si>
    <t>cosRNA_M141</t>
  </si>
  <si>
    <t>cosRNA_M205</t>
  </si>
  <si>
    <t>cosRNA_M140</t>
  </si>
  <si>
    <t>cosRNA_M139</t>
  </si>
  <si>
    <t>cosRNA_M91</t>
  </si>
  <si>
    <t>cosRNA_M204</t>
  </si>
  <si>
    <t>cosRNA_M27</t>
  </si>
  <si>
    <t>cosRNA_M90</t>
  </si>
  <si>
    <t>cosRNA_M138</t>
  </si>
  <si>
    <t>cosRNA_M26</t>
  </si>
  <si>
    <t>cosRNA_M137</t>
  </si>
  <si>
    <t>cosRNA_M88</t>
  </si>
  <si>
    <t>cosRNA_M136</t>
  </si>
  <si>
    <t>cosRNA_M25</t>
  </si>
  <si>
    <t>cosRNA_M135</t>
  </si>
  <si>
    <t>cosRNA_M134</t>
  </si>
  <si>
    <t>cosRNA_M24</t>
  </si>
  <si>
    <t>cosRNA_M133</t>
  </si>
  <si>
    <t>cosRNA_M132</t>
  </si>
  <si>
    <t>cosRNA_M100</t>
  </si>
  <si>
    <t>cosRNA_M23</t>
  </si>
  <si>
    <t>cosRNA_M87</t>
  </si>
  <si>
    <t>cosRNA_M22</t>
  </si>
  <si>
    <t>cosRNA_M21</t>
  </si>
  <si>
    <t>cosRNA_M203</t>
  </si>
  <si>
    <t>cosRNA_M131</t>
  </si>
  <si>
    <t>cosRNA_M20</t>
  </si>
  <si>
    <t>cosRNA_M130</t>
  </si>
  <si>
    <t>cosRNA_M129</t>
  </si>
  <si>
    <t>cosRNA_M86</t>
  </si>
  <si>
    <t>cosRNA_M202</t>
  </si>
  <si>
    <t>cosRNA_M128</t>
  </si>
  <si>
    <t>cosRNA_M127</t>
  </si>
  <si>
    <t>cosRNA_M201</t>
  </si>
  <si>
    <t>cosRNA_M85</t>
  </si>
  <si>
    <t>cosRNA_M126</t>
  </si>
  <si>
    <t>cosRNA_M19</t>
  </si>
  <si>
    <t>cosRNA_M18</t>
  </si>
  <si>
    <t>cosRNA_M199</t>
  </si>
  <si>
    <t>cosRNA_M124</t>
  </si>
  <si>
    <t>cosRNA_M17</t>
  </si>
  <si>
    <t>cosRNA_M16</t>
  </si>
  <si>
    <t>cosRNA_M123</t>
  </si>
  <si>
    <t>cosRNA_M84</t>
  </si>
  <si>
    <t>cosRNA_M122</t>
  </si>
  <si>
    <t>cosRNA_M14</t>
  </si>
  <si>
    <t>cosRNA_M83</t>
  </si>
  <si>
    <t>cosRNA_M12</t>
  </si>
  <si>
    <t>cosRNA_M80</t>
  </si>
  <si>
    <t>cosRNA_M9-2</t>
  </si>
  <si>
    <t>cosRNA_M8-2</t>
  </si>
  <si>
    <t>cosRNA_M7-2</t>
  </si>
  <si>
    <t>cosRNA_M153</t>
  </si>
  <si>
    <t>cosRNA_M3-2</t>
  </si>
  <si>
    <t>cosRNA_M30</t>
  </si>
  <si>
    <t>cosRNA_M31</t>
  </si>
  <si>
    <t>cosRNA_M155</t>
  </si>
  <si>
    <t>cosRNA_M32</t>
  </si>
  <si>
    <t>cosRNA_M156</t>
  </si>
  <si>
    <t>cosRNA_M211</t>
  </si>
  <si>
    <t>cosRNA_M158</t>
  </si>
  <si>
    <t>cosRNA_M112-2</t>
  </si>
  <si>
    <t>cosRNA_M194-2</t>
  </si>
  <si>
    <t>cosRNA_M113-2</t>
  </si>
  <si>
    <t>cosRNA_M114-2</t>
  </si>
  <si>
    <t>cosRNA_M1-2</t>
  </si>
  <si>
    <t>cosRNA_M35</t>
  </si>
  <si>
    <t>cosRNA_M212</t>
  </si>
  <si>
    <t>cosRNA_M213</t>
  </si>
  <si>
    <t>cosRNA_M214</t>
  </si>
  <si>
    <t>cosRNA_M36</t>
  </si>
  <si>
    <t>cosRNA_M37</t>
  </si>
  <si>
    <t>cosRNA_M216</t>
  </si>
  <si>
    <t>cosRNA_M38</t>
  </si>
  <si>
    <t>cosRNA_M39</t>
  </si>
  <si>
    <t>cosRNA_M40</t>
  </si>
  <si>
    <t>cosRNA_M160</t>
  </si>
  <si>
    <t>cosRNA_M161</t>
  </si>
  <si>
    <t>cosRNA_M41</t>
  </si>
  <si>
    <t>cosRNA_M162</t>
  </si>
  <si>
    <t>cosRNA_M94</t>
  </si>
  <si>
    <t>cosRNA_M163</t>
  </si>
  <si>
    <t>cosRNA_M164</t>
  </si>
  <si>
    <t>cosRNA_M165</t>
  </si>
  <si>
    <t>cosRNA_M96</t>
  </si>
  <si>
    <t>cosRNA_M166</t>
  </si>
  <si>
    <t>cosRNA_M217</t>
  </si>
  <si>
    <t>cosRNA_M97</t>
  </si>
  <si>
    <t>cosRNA_M218</t>
  </si>
  <si>
    <t>cosRNA_M42</t>
  </si>
  <si>
    <t>cosRNA_M43</t>
  </si>
  <si>
    <t>cosRNA_M44</t>
  </si>
  <si>
    <t>cosRNA_M212-2</t>
  </si>
  <si>
    <t>cosRNA_M141-2</t>
  </si>
  <si>
    <t>cosRNA_M219</t>
  </si>
  <si>
    <t>cosRNA_M77-2</t>
  </si>
  <si>
    <t>cosRNA_M169</t>
  </si>
  <si>
    <t>cosRNA_M170</t>
  </si>
  <si>
    <t>cosRNA_M140-2</t>
  </si>
  <si>
    <t>cosRNA_M205-2</t>
  </si>
  <si>
    <t>cosRNA_M141-3</t>
  </si>
  <si>
    <t>cosRNA_M45</t>
  </si>
  <si>
    <t>cosRNA_M90-2</t>
  </si>
  <si>
    <t>cosRNA_M78-2</t>
  </si>
  <si>
    <t>cosRNA_M98</t>
  </si>
  <si>
    <t>cosRNA_M96-2</t>
  </si>
  <si>
    <t>cosRNA_M5-2</t>
  </si>
  <si>
    <t>cosRNA_M171</t>
  </si>
  <si>
    <t>cosRNA_M46</t>
  </si>
  <si>
    <t>cosRNA_M172</t>
  </si>
  <si>
    <t>cosRNA_M47</t>
  </si>
  <si>
    <t>cosRNA_M173</t>
  </si>
  <si>
    <t>cosRNA_M99</t>
  </si>
  <si>
    <t>cosRNA_M220</t>
  </si>
  <si>
    <t>cosRNA_M174</t>
  </si>
  <si>
    <t>cosRNA_M175</t>
  </si>
  <si>
    <t>cosRNA_M48</t>
  </si>
  <si>
    <t>cosRNA_M178</t>
  </si>
  <si>
    <t>cosRNA_M100-2</t>
  </si>
  <si>
    <t>cosRNA_M49</t>
  </si>
  <si>
    <t>cosRNA_M179</t>
  </si>
  <si>
    <t>cosRNA_M180</t>
  </si>
  <si>
    <t>cosRNA_M50</t>
  </si>
  <si>
    <t>cosRNA_M51</t>
  </si>
  <si>
    <t>cosRNA_M52</t>
  </si>
  <si>
    <t>cosRNA_M221</t>
  </si>
  <si>
    <t>cosRNA_M101</t>
  </si>
  <si>
    <t>cosRNA_M181</t>
  </si>
  <si>
    <t>cosRNA_M102</t>
  </si>
  <si>
    <t>cosRNA_M54</t>
  </si>
  <si>
    <t>cosRNA_M55</t>
  </si>
  <si>
    <t>cosRNA_M182</t>
  </si>
  <si>
    <t>cosRNA_M56</t>
  </si>
  <si>
    <t>cosRNA_M103</t>
  </si>
  <si>
    <t>cosRNA_M59</t>
  </si>
  <si>
    <t>cosRNA_M183</t>
  </si>
  <si>
    <t>cosRNA_M184</t>
  </si>
  <si>
    <t>cosRNA_M105</t>
  </si>
  <si>
    <t>cosRNA_M60</t>
  </si>
  <si>
    <t>cosRNA_M106</t>
  </si>
  <si>
    <t>cosRNA_M107</t>
  </si>
  <si>
    <t>cosRNA_M185</t>
  </si>
  <si>
    <t>cosRNA_M149-2</t>
  </si>
  <si>
    <t>cosRNA_M150-2</t>
  </si>
  <si>
    <t>cosRNA_M61</t>
  </si>
  <si>
    <t>cosRNA_M62</t>
  </si>
  <si>
    <t>cosRNA_M63</t>
  </si>
  <si>
    <t>cosRNA_M64</t>
  </si>
  <si>
    <t>cosRNA_M108</t>
  </si>
  <si>
    <t>cosRNA_M65</t>
  </si>
  <si>
    <t>cosRNA_M96-3</t>
  </si>
  <si>
    <t>cosRNA_M78-3</t>
  </si>
  <si>
    <t>cosRNA_M98-2</t>
  </si>
  <si>
    <t>cosRNA_M70</t>
  </si>
  <si>
    <t>cosRNA_M187</t>
  </si>
  <si>
    <t>cosRNA_M188</t>
  </si>
  <si>
    <t>cosRNA_M66</t>
  </si>
  <si>
    <t>cosRNA_M109</t>
  </si>
  <si>
    <t>cosRNA_M67</t>
  </si>
  <si>
    <t>cosRNA_M189</t>
  </si>
  <si>
    <t>cosRNA_M68</t>
  </si>
  <si>
    <t>cosRNA_M190</t>
  </si>
  <si>
    <t>cosRNA_M110</t>
  </si>
  <si>
    <t>cosRNA_M222</t>
  </si>
  <si>
    <t>cosRNA_M69</t>
  </si>
  <si>
    <t>cosRNA_M191</t>
  </si>
  <si>
    <t>cosRNA_M192</t>
  </si>
  <si>
    <t>cosRNA_M70-2</t>
  </si>
  <si>
    <t>cosRNA_M138-2</t>
  </si>
  <si>
    <t>cosRNA_M111</t>
  </si>
  <si>
    <t>cosRNA_M193</t>
  </si>
  <si>
    <t>cosRNA_M71</t>
  </si>
  <si>
    <t>cosRNA_M72</t>
  </si>
  <si>
    <t>rRNA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</si>
</sst>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BEB8-8F15-4F3A-AD90-F431D592F3CF}">
  <dimension ref="A1:S62"/>
  <sheetViews>
    <sheetView tabSelected="1" topLeftCell="A42" workbookViewId="0">
      <selection activeCell="I63" sqref="I63"/>
    </sheetView>
  </sheetViews>
  <sheetFormatPr defaultRowHeight="14.5" x14ac:dyDescent="0.35"/>
  <cols>
    <col min="4" max="4" width="12.26953125" customWidth="1"/>
    <col min="9" max="9" width="8.7265625" style="3"/>
    <col min="12" max="12" width="10.453125" style="3" customWidth="1"/>
    <col min="13" max="18" width="12.1796875" style="3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2" t="s">
        <v>6</v>
      </c>
      <c r="J1" s="2" t="s">
        <v>8</v>
      </c>
      <c r="K1" s="1" t="s">
        <v>7</v>
      </c>
      <c r="L1" s="2" t="s">
        <v>9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14</v>
      </c>
    </row>
    <row r="2" spans="1:19" x14ac:dyDescent="0.35">
      <c r="A2" t="s">
        <v>10</v>
      </c>
      <c r="B2">
        <v>274937</v>
      </c>
      <c r="C2">
        <v>275010</v>
      </c>
      <c r="D2" t="s">
        <v>54</v>
      </c>
      <c r="E2">
        <v>53.526026984833329</v>
      </c>
      <c r="F2" t="s">
        <v>11</v>
      </c>
      <c r="G2">
        <v>274937</v>
      </c>
      <c r="H2">
        <v>275010</v>
      </c>
      <c r="I2" s="3" t="s">
        <v>67</v>
      </c>
      <c r="J2" s="3" t="s">
        <v>68</v>
      </c>
      <c r="K2">
        <v>73</v>
      </c>
      <c r="L2" s="3" t="s">
        <v>69</v>
      </c>
      <c r="M2">
        <v>29.258865333799999</v>
      </c>
      <c r="N2">
        <v>80.7194182729</v>
      </c>
      <c r="O2">
        <v>50.599797347799999</v>
      </c>
      <c r="P2" s="4">
        <f t="shared" ref="P2:P33" si="0">AVERAGE(M2:O2)</f>
        <v>53.526026984833329</v>
      </c>
      <c r="Q2" s="4">
        <f t="shared" ref="Q2:Q33" si="1">_xlfn.STDEV.P(M2:O2)</f>
        <v>21.110333048311801</v>
      </c>
      <c r="R2" s="4">
        <f t="shared" ref="R2:R33" si="2">Q2/P2</f>
        <v>0.39439379751262771</v>
      </c>
      <c r="S2" t="s">
        <v>18</v>
      </c>
    </row>
    <row r="3" spans="1:19" x14ac:dyDescent="0.35">
      <c r="A3" t="s">
        <v>10</v>
      </c>
      <c r="B3">
        <v>180658</v>
      </c>
      <c r="C3">
        <v>180744</v>
      </c>
      <c r="D3" t="s">
        <v>39</v>
      </c>
      <c r="E3">
        <v>95.816811836699983</v>
      </c>
      <c r="F3" t="s">
        <v>11</v>
      </c>
      <c r="G3">
        <v>180658</v>
      </c>
      <c r="H3">
        <v>180744</v>
      </c>
      <c r="I3" s="3" t="s">
        <v>67</v>
      </c>
      <c r="J3" s="3" t="s">
        <v>68</v>
      </c>
      <c r="K3">
        <v>86</v>
      </c>
      <c r="L3" s="3" t="s">
        <v>69</v>
      </c>
      <c r="M3">
        <v>115.901396787</v>
      </c>
      <c r="N3">
        <v>85.647057179100003</v>
      </c>
      <c r="O3">
        <v>85.901981543999995</v>
      </c>
      <c r="P3" s="4">
        <f t="shared" si="0"/>
        <v>95.816811836699983</v>
      </c>
      <c r="Q3" s="4">
        <f t="shared" si="1"/>
        <v>14.202327534065709</v>
      </c>
      <c r="R3" s="4">
        <f t="shared" si="2"/>
        <v>0.14822375386764747</v>
      </c>
      <c r="S3" t="s">
        <v>18</v>
      </c>
    </row>
    <row r="4" spans="1:19" x14ac:dyDescent="0.35">
      <c r="A4" t="s">
        <v>10</v>
      </c>
      <c r="B4">
        <v>321367</v>
      </c>
      <c r="C4">
        <v>321438</v>
      </c>
      <c r="D4" t="s">
        <v>62</v>
      </c>
      <c r="E4">
        <v>177.65294597033332</v>
      </c>
      <c r="F4" t="s">
        <v>11</v>
      </c>
      <c r="G4">
        <v>321367</v>
      </c>
      <c r="H4">
        <v>321438</v>
      </c>
      <c r="I4" s="3" t="s">
        <v>67</v>
      </c>
      <c r="J4" s="3" t="s">
        <v>68</v>
      </c>
      <c r="K4">
        <v>71</v>
      </c>
      <c r="L4" s="3" t="s">
        <v>69</v>
      </c>
      <c r="M4">
        <v>200.55372482300001</v>
      </c>
      <c r="N4">
        <v>186.73471058199999</v>
      </c>
      <c r="O4">
        <v>145.67040250599999</v>
      </c>
      <c r="P4" s="4">
        <f t="shared" si="0"/>
        <v>177.65294597033332</v>
      </c>
      <c r="Q4" s="4">
        <f t="shared" si="1"/>
        <v>23.30813310819828</v>
      </c>
      <c r="R4" s="4">
        <f t="shared" si="2"/>
        <v>0.13120037487073566</v>
      </c>
      <c r="S4" t="s">
        <v>18</v>
      </c>
    </row>
    <row r="5" spans="1:19" x14ac:dyDescent="0.35">
      <c r="A5" t="s">
        <v>10</v>
      </c>
      <c r="B5">
        <v>294477</v>
      </c>
      <c r="C5">
        <v>294548</v>
      </c>
      <c r="D5" t="s">
        <v>58</v>
      </c>
      <c r="E5">
        <v>207.90295641333333</v>
      </c>
      <c r="F5" t="s">
        <v>13</v>
      </c>
      <c r="G5">
        <v>294477</v>
      </c>
      <c r="H5">
        <v>294548</v>
      </c>
      <c r="I5" s="3" t="s">
        <v>67</v>
      </c>
      <c r="J5" s="3" t="s">
        <v>68</v>
      </c>
      <c r="K5">
        <v>71</v>
      </c>
      <c r="L5" s="3" t="s">
        <v>69</v>
      </c>
      <c r="M5">
        <v>280.77521475200001</v>
      </c>
      <c r="N5">
        <v>145.23810822999999</v>
      </c>
      <c r="O5">
        <v>197.69554625800001</v>
      </c>
      <c r="P5" s="4">
        <f t="shared" si="0"/>
        <v>207.90295641333333</v>
      </c>
      <c r="Q5" s="4">
        <f t="shared" si="1"/>
        <v>55.801554504322894</v>
      </c>
      <c r="R5" s="4">
        <f t="shared" si="2"/>
        <v>0.26840192879885477</v>
      </c>
      <c r="S5" t="s">
        <v>18</v>
      </c>
    </row>
    <row r="6" spans="1:19" x14ac:dyDescent="0.35">
      <c r="A6" t="s">
        <v>10</v>
      </c>
      <c r="B6">
        <v>102603</v>
      </c>
      <c r="C6">
        <v>102675</v>
      </c>
      <c r="D6" t="s">
        <v>29</v>
      </c>
      <c r="E6">
        <v>333.83741433499995</v>
      </c>
      <c r="F6" t="s">
        <v>13</v>
      </c>
      <c r="G6">
        <v>102603</v>
      </c>
      <c r="H6">
        <v>102675</v>
      </c>
      <c r="I6" s="3" t="s">
        <v>67</v>
      </c>
      <c r="J6" s="3" t="s">
        <v>68</v>
      </c>
      <c r="K6">
        <v>72</v>
      </c>
      <c r="L6" s="3" t="s">
        <v>69</v>
      </c>
      <c r="M6">
        <v>355.98286156099999</v>
      </c>
      <c r="N6">
        <v>296.67188972899999</v>
      </c>
      <c r="O6">
        <v>348.85749171499998</v>
      </c>
      <c r="P6" s="4">
        <f t="shared" si="0"/>
        <v>333.83741433499995</v>
      </c>
      <c r="Q6" s="4">
        <f t="shared" si="1"/>
        <v>26.440497830537222</v>
      </c>
      <c r="R6" s="4">
        <f t="shared" si="2"/>
        <v>7.9201721242678477E-2</v>
      </c>
      <c r="S6" t="s">
        <v>18</v>
      </c>
    </row>
    <row r="7" spans="1:19" x14ac:dyDescent="0.35">
      <c r="A7" t="s">
        <v>10</v>
      </c>
      <c r="B7">
        <v>42116</v>
      </c>
      <c r="C7">
        <v>42190</v>
      </c>
      <c r="D7" t="s">
        <v>76</v>
      </c>
      <c r="E7">
        <v>499.23840154033331</v>
      </c>
      <c r="F7" t="s">
        <v>13</v>
      </c>
      <c r="G7">
        <v>42116</v>
      </c>
      <c r="H7">
        <v>42190</v>
      </c>
      <c r="I7" s="3" t="s">
        <v>67</v>
      </c>
      <c r="J7" s="3" t="s">
        <v>68</v>
      </c>
      <c r="K7">
        <v>74</v>
      </c>
      <c r="L7" s="3" t="s">
        <v>69</v>
      </c>
      <c r="M7">
        <v>481.057921029</v>
      </c>
      <c r="N7">
        <v>547.44673034799996</v>
      </c>
      <c r="O7">
        <v>469.21055324399998</v>
      </c>
      <c r="P7" s="4">
        <f t="shared" si="0"/>
        <v>499.23840154033331</v>
      </c>
      <c r="Q7" s="4">
        <f t="shared" si="1"/>
        <v>34.429853864336401</v>
      </c>
      <c r="R7" s="4">
        <f t="shared" si="2"/>
        <v>6.8964754630468514E-2</v>
      </c>
      <c r="S7" t="s">
        <v>18</v>
      </c>
    </row>
    <row r="8" spans="1:19" x14ac:dyDescent="0.35">
      <c r="A8" t="s">
        <v>10</v>
      </c>
      <c r="B8">
        <v>43544</v>
      </c>
      <c r="C8">
        <v>43615</v>
      </c>
      <c r="D8" t="s">
        <v>75</v>
      </c>
      <c r="E8">
        <v>529.4367632036666</v>
      </c>
      <c r="F8" t="s">
        <v>13</v>
      </c>
      <c r="G8">
        <v>43544</v>
      </c>
      <c r="H8">
        <v>43615</v>
      </c>
      <c r="I8" s="3" t="s">
        <v>67</v>
      </c>
      <c r="J8" s="3" t="s">
        <v>68</v>
      </c>
      <c r="K8">
        <v>71</v>
      </c>
      <c r="L8" s="3" t="s">
        <v>69</v>
      </c>
      <c r="M8">
        <v>611.68886071099996</v>
      </c>
      <c r="N8">
        <v>487.58507763099999</v>
      </c>
      <c r="O8">
        <v>489.03635126900002</v>
      </c>
      <c r="P8" s="4">
        <f t="shared" si="0"/>
        <v>529.4367632036666</v>
      </c>
      <c r="Q8" s="4">
        <f t="shared" si="1"/>
        <v>58.164033600728615</v>
      </c>
      <c r="R8" s="4">
        <f t="shared" si="2"/>
        <v>0.10986020926989114</v>
      </c>
      <c r="S8" t="s">
        <v>18</v>
      </c>
    </row>
    <row r="9" spans="1:19" x14ac:dyDescent="0.35">
      <c r="A9" t="s">
        <v>10</v>
      </c>
      <c r="B9">
        <v>171570</v>
      </c>
      <c r="C9">
        <v>171643</v>
      </c>
      <c r="D9" t="s">
        <v>38</v>
      </c>
      <c r="E9">
        <v>598.63515263966667</v>
      </c>
      <c r="F9" t="s">
        <v>11</v>
      </c>
      <c r="G9">
        <v>171570</v>
      </c>
      <c r="H9">
        <v>171643</v>
      </c>
      <c r="I9" s="3" t="s">
        <v>67</v>
      </c>
      <c r="J9" s="3" t="s">
        <v>68</v>
      </c>
      <c r="K9">
        <v>73</v>
      </c>
      <c r="L9" s="3" t="s">
        <v>69</v>
      </c>
      <c r="M9">
        <v>633.94208223199996</v>
      </c>
      <c r="N9">
        <v>615.48556433099998</v>
      </c>
      <c r="O9">
        <v>546.47781135599996</v>
      </c>
      <c r="P9" s="4">
        <f t="shared" si="0"/>
        <v>598.63515263966667</v>
      </c>
      <c r="Q9" s="4">
        <f t="shared" si="1"/>
        <v>37.642634964387064</v>
      </c>
      <c r="R9" s="4">
        <f t="shared" si="2"/>
        <v>6.2880762678908533E-2</v>
      </c>
      <c r="S9" t="s">
        <v>18</v>
      </c>
    </row>
    <row r="10" spans="1:19" x14ac:dyDescent="0.35">
      <c r="A10" t="s">
        <v>10</v>
      </c>
      <c r="B10">
        <v>189287</v>
      </c>
      <c r="C10">
        <v>189358</v>
      </c>
      <c r="D10" t="s">
        <v>42</v>
      </c>
      <c r="E10">
        <v>732.08964826066676</v>
      </c>
      <c r="F10" t="s">
        <v>13</v>
      </c>
      <c r="G10">
        <v>189287</v>
      </c>
      <c r="H10">
        <v>189358</v>
      </c>
      <c r="I10" s="3" t="s">
        <v>67</v>
      </c>
      <c r="J10" s="3" t="s">
        <v>68</v>
      </c>
      <c r="K10">
        <v>71</v>
      </c>
      <c r="L10" s="3" t="s">
        <v>69</v>
      </c>
      <c r="M10">
        <v>762.10415432800005</v>
      </c>
      <c r="N10">
        <v>580.95243292199996</v>
      </c>
      <c r="O10">
        <v>853.21235753200006</v>
      </c>
      <c r="P10" s="4">
        <f t="shared" si="0"/>
        <v>732.08964826066676</v>
      </c>
      <c r="Q10" s="4">
        <f t="shared" si="1"/>
        <v>113.1577647004695</v>
      </c>
      <c r="R10" s="4">
        <f t="shared" si="2"/>
        <v>0.15456818023491395</v>
      </c>
      <c r="S10" t="s">
        <v>18</v>
      </c>
    </row>
    <row r="11" spans="1:19" x14ac:dyDescent="0.35">
      <c r="A11" t="s">
        <v>10</v>
      </c>
      <c r="B11">
        <v>42546</v>
      </c>
      <c r="C11">
        <v>42616</v>
      </c>
      <c r="D11" t="s">
        <v>73</v>
      </c>
      <c r="E11">
        <v>1277.8523350033331</v>
      </c>
      <c r="F11" t="s">
        <v>13</v>
      </c>
      <c r="G11">
        <v>42546</v>
      </c>
      <c r="H11">
        <v>42616</v>
      </c>
      <c r="I11" s="3" t="s">
        <v>67</v>
      </c>
      <c r="J11" s="3" t="s">
        <v>68</v>
      </c>
      <c r="K11">
        <v>70</v>
      </c>
      <c r="L11" s="3" t="s">
        <v>69</v>
      </c>
      <c r="M11">
        <v>1230.6836071099999</v>
      </c>
      <c r="N11">
        <v>1304.77173965</v>
      </c>
      <c r="O11">
        <v>1298.1016582499999</v>
      </c>
      <c r="P11" s="4">
        <f t="shared" si="0"/>
        <v>1277.8523350033331</v>
      </c>
      <c r="Q11" s="4">
        <f t="shared" si="1"/>
        <v>33.464301026388796</v>
      </c>
      <c r="R11" s="4">
        <f t="shared" si="2"/>
        <v>2.618792493445771E-2</v>
      </c>
      <c r="S11" t="s">
        <v>18</v>
      </c>
    </row>
    <row r="12" spans="1:19" x14ac:dyDescent="0.35">
      <c r="A12" t="s">
        <v>10</v>
      </c>
      <c r="B12">
        <v>126001</v>
      </c>
      <c r="C12">
        <v>126118</v>
      </c>
      <c r="D12" t="s">
        <v>32</v>
      </c>
      <c r="E12">
        <v>1862.0300115893331</v>
      </c>
      <c r="F12" t="s">
        <v>11</v>
      </c>
      <c r="G12">
        <v>126001</v>
      </c>
      <c r="H12">
        <v>126118</v>
      </c>
      <c r="I12" s="3" t="s">
        <v>67</v>
      </c>
      <c r="J12" s="3" t="s">
        <v>68</v>
      </c>
      <c r="K12">
        <v>117</v>
      </c>
      <c r="L12" s="3" t="s">
        <v>69</v>
      </c>
      <c r="M12">
        <v>2190.6637634499998</v>
      </c>
      <c r="N12">
        <v>2656.66923004</v>
      </c>
      <c r="O12">
        <v>738.75704127799997</v>
      </c>
      <c r="P12" s="4">
        <f t="shared" si="0"/>
        <v>1862.0300115893331</v>
      </c>
      <c r="Q12" s="4">
        <f t="shared" si="1"/>
        <v>816.74022720282255</v>
      </c>
      <c r="R12" s="4">
        <f t="shared" si="2"/>
        <v>0.43862892763242578</v>
      </c>
      <c r="S12" t="s">
        <v>293</v>
      </c>
    </row>
    <row r="13" spans="1:19" x14ac:dyDescent="0.35">
      <c r="A13" t="s">
        <v>10</v>
      </c>
      <c r="B13">
        <v>321858</v>
      </c>
      <c r="C13">
        <v>321945</v>
      </c>
      <c r="D13" t="s">
        <v>79</v>
      </c>
      <c r="E13">
        <v>1874.0161593566665</v>
      </c>
      <c r="F13" t="s">
        <v>11</v>
      </c>
      <c r="G13">
        <v>321858</v>
      </c>
      <c r="H13">
        <v>321945</v>
      </c>
      <c r="I13" s="3" t="s">
        <v>67</v>
      </c>
      <c r="J13" s="3" t="s">
        <v>68</v>
      </c>
      <c r="K13">
        <v>87</v>
      </c>
      <c r="L13" s="3" t="s">
        <v>69</v>
      </c>
      <c r="M13">
        <v>2111.3466271900002</v>
      </c>
      <c r="N13">
        <v>1600.12329585</v>
      </c>
      <c r="O13">
        <v>1910.57855503</v>
      </c>
      <c r="P13" s="4">
        <f t="shared" si="0"/>
        <v>1874.0161593566665</v>
      </c>
      <c r="Q13" s="4">
        <f t="shared" si="1"/>
        <v>210.3012604330936</v>
      </c>
      <c r="R13" s="4">
        <f t="shared" si="2"/>
        <v>0.11221955551615317</v>
      </c>
      <c r="S13" t="s">
        <v>18</v>
      </c>
    </row>
    <row r="14" spans="1:19" x14ac:dyDescent="0.35">
      <c r="A14" t="s">
        <v>10</v>
      </c>
      <c r="B14">
        <v>41486</v>
      </c>
      <c r="C14">
        <v>41573</v>
      </c>
      <c r="D14" t="s">
        <v>51</v>
      </c>
      <c r="E14">
        <v>2231.5991556666668</v>
      </c>
      <c r="F14" t="s">
        <v>13</v>
      </c>
      <c r="G14">
        <v>41486</v>
      </c>
      <c r="H14">
        <v>41573</v>
      </c>
      <c r="I14" s="3" t="s">
        <v>67</v>
      </c>
      <c r="J14" s="3" t="s">
        <v>68</v>
      </c>
      <c r="K14">
        <v>87</v>
      </c>
      <c r="L14" s="3" t="s">
        <v>69</v>
      </c>
      <c r="M14">
        <v>2217.7323099599998</v>
      </c>
      <c r="N14">
        <v>2158.8965102699999</v>
      </c>
      <c r="O14">
        <v>2318.1686467700001</v>
      </c>
      <c r="P14" s="4">
        <f t="shared" si="0"/>
        <v>2231.5991556666668</v>
      </c>
      <c r="Q14" s="4">
        <f t="shared" si="1"/>
        <v>65.75773933516902</v>
      </c>
      <c r="R14" s="4">
        <f t="shared" si="2"/>
        <v>2.9466644656228412E-2</v>
      </c>
      <c r="S14" t="s">
        <v>18</v>
      </c>
    </row>
    <row r="15" spans="1:19" x14ac:dyDescent="0.35">
      <c r="A15" t="s">
        <v>10</v>
      </c>
      <c r="B15">
        <v>126289</v>
      </c>
      <c r="C15">
        <v>128223</v>
      </c>
      <c r="D15" t="s">
        <v>33</v>
      </c>
      <c r="E15">
        <v>7362.7743962499999</v>
      </c>
      <c r="F15" t="s">
        <v>11</v>
      </c>
      <c r="G15">
        <v>126289</v>
      </c>
      <c r="H15">
        <v>128223</v>
      </c>
      <c r="I15" s="3" t="s">
        <v>67</v>
      </c>
      <c r="J15" s="3" t="s">
        <v>68</v>
      </c>
      <c r="K15">
        <v>1934</v>
      </c>
      <c r="L15" s="3" t="s">
        <v>69</v>
      </c>
      <c r="M15">
        <v>9506.6198727600004</v>
      </c>
      <c r="N15">
        <v>5932.1259765000004</v>
      </c>
      <c r="O15">
        <v>6649.5773394899998</v>
      </c>
      <c r="P15" s="4">
        <f t="shared" si="0"/>
        <v>7362.7743962499999</v>
      </c>
      <c r="Q15" s="4">
        <f t="shared" si="1"/>
        <v>1543.9644177524185</v>
      </c>
      <c r="R15" s="4">
        <f t="shared" si="2"/>
        <v>0.20969872695526143</v>
      </c>
      <c r="S15" t="s">
        <v>293</v>
      </c>
    </row>
    <row r="16" spans="1:19" x14ac:dyDescent="0.35">
      <c r="A16" t="s">
        <v>10</v>
      </c>
      <c r="B16">
        <v>140797</v>
      </c>
      <c r="C16">
        <v>143965</v>
      </c>
      <c r="D16" t="s">
        <v>34</v>
      </c>
      <c r="E16">
        <v>19827.803622000003</v>
      </c>
      <c r="F16" t="s">
        <v>11</v>
      </c>
      <c r="G16">
        <v>140797</v>
      </c>
      <c r="H16">
        <v>143965</v>
      </c>
      <c r="I16" s="3" t="s">
        <v>67</v>
      </c>
      <c r="J16" s="3" t="s">
        <v>68</v>
      </c>
      <c r="K16">
        <v>3168</v>
      </c>
      <c r="L16" s="3" t="s">
        <v>69</v>
      </c>
      <c r="M16">
        <v>25054.541248900001</v>
      </c>
      <c r="N16">
        <v>16627.3434122</v>
      </c>
      <c r="O16">
        <v>17801.526204900001</v>
      </c>
      <c r="P16" s="4">
        <f t="shared" si="0"/>
        <v>19827.803622000003</v>
      </c>
      <c r="Q16" s="4">
        <f t="shared" si="1"/>
        <v>3726.8186587675877</v>
      </c>
      <c r="R16" s="4">
        <f t="shared" si="2"/>
        <v>0.18795922785075822</v>
      </c>
      <c r="S16" t="s">
        <v>293</v>
      </c>
    </row>
    <row r="17" spans="1:19" x14ac:dyDescent="0.35">
      <c r="A17" t="s">
        <v>10</v>
      </c>
      <c r="B17">
        <v>360107</v>
      </c>
      <c r="C17">
        <v>360128</v>
      </c>
      <c r="D17" t="s">
        <v>72</v>
      </c>
      <c r="E17">
        <v>381.02201637600001</v>
      </c>
      <c r="F17" t="s">
        <v>13</v>
      </c>
      <c r="G17">
        <v>360107</v>
      </c>
      <c r="H17">
        <v>360128</v>
      </c>
      <c r="I17" s="3" t="s">
        <v>67</v>
      </c>
      <c r="J17" s="3" t="s">
        <v>68</v>
      </c>
      <c r="K17">
        <v>21</v>
      </c>
      <c r="L17" s="3" t="s">
        <v>69</v>
      </c>
      <c r="M17">
        <v>440.74068574199998</v>
      </c>
      <c r="N17">
        <v>420.894109566</v>
      </c>
      <c r="O17">
        <v>281.43125381999999</v>
      </c>
      <c r="P17" s="4">
        <f t="shared" si="0"/>
        <v>381.02201637600001</v>
      </c>
      <c r="Q17" s="4">
        <f t="shared" si="1"/>
        <v>70.885878407205126</v>
      </c>
      <c r="R17" s="4">
        <f t="shared" si="2"/>
        <v>0.18604142375136021</v>
      </c>
      <c r="S17" t="s">
        <v>16</v>
      </c>
    </row>
    <row r="18" spans="1:19" x14ac:dyDescent="0.35">
      <c r="A18" t="s">
        <v>10</v>
      </c>
      <c r="B18">
        <v>316013</v>
      </c>
      <c r="C18">
        <v>317161</v>
      </c>
      <c r="D18" t="s">
        <v>61</v>
      </c>
      <c r="E18">
        <v>628.84572256966669</v>
      </c>
      <c r="F18" t="s">
        <v>13</v>
      </c>
      <c r="G18">
        <v>316013</v>
      </c>
      <c r="H18">
        <v>317161</v>
      </c>
      <c r="I18" s="3" t="s">
        <v>67</v>
      </c>
      <c r="J18" s="3" t="s">
        <v>68</v>
      </c>
      <c r="K18">
        <v>1148</v>
      </c>
      <c r="L18" s="3" t="s">
        <v>69</v>
      </c>
      <c r="M18">
        <v>626.38099333900004</v>
      </c>
      <c r="N18">
        <v>597.97760688300002</v>
      </c>
      <c r="O18">
        <v>662.17856748700001</v>
      </c>
      <c r="P18" s="4">
        <f t="shared" si="0"/>
        <v>628.84572256966669</v>
      </c>
      <c r="Q18" s="4">
        <f t="shared" si="1"/>
        <v>26.26781304504896</v>
      </c>
      <c r="R18" s="4">
        <f t="shared" si="2"/>
        <v>4.1771474468666484E-2</v>
      </c>
      <c r="S18" t="s">
        <v>16</v>
      </c>
    </row>
    <row r="19" spans="1:19" x14ac:dyDescent="0.35">
      <c r="A19" t="s">
        <v>10</v>
      </c>
      <c r="B19">
        <v>291580</v>
      </c>
      <c r="C19">
        <v>292191</v>
      </c>
      <c r="D19" t="s">
        <v>57</v>
      </c>
      <c r="E19">
        <v>1301.1208238433335</v>
      </c>
      <c r="F19" t="s">
        <v>13</v>
      </c>
      <c r="G19">
        <v>291580</v>
      </c>
      <c r="H19">
        <v>292191</v>
      </c>
      <c r="I19" s="3" t="s">
        <v>67</v>
      </c>
      <c r="J19" s="3" t="s">
        <v>68</v>
      </c>
      <c r="K19">
        <v>611</v>
      </c>
      <c r="L19" s="3" t="s">
        <v>69</v>
      </c>
      <c r="M19">
        <v>1443.74063985</v>
      </c>
      <c r="N19">
        <v>1110.2718184800001</v>
      </c>
      <c r="O19">
        <v>1349.3500131999999</v>
      </c>
      <c r="P19" s="4">
        <f t="shared" si="0"/>
        <v>1301.1208238433335</v>
      </c>
      <c r="Q19" s="4">
        <f t="shared" si="1"/>
        <v>140.34458720348439</v>
      </c>
      <c r="R19" s="4">
        <f t="shared" si="2"/>
        <v>0.10786437710598284</v>
      </c>
      <c r="S19" t="s">
        <v>16</v>
      </c>
    </row>
    <row r="20" spans="1:19" x14ac:dyDescent="0.35">
      <c r="A20" t="s">
        <v>10</v>
      </c>
      <c r="B20">
        <v>79559</v>
      </c>
      <c r="C20">
        <v>80005</v>
      </c>
      <c r="D20" t="s">
        <v>25</v>
      </c>
      <c r="E20">
        <v>1890.3159527766668</v>
      </c>
      <c r="F20" t="s">
        <v>13</v>
      </c>
      <c r="G20">
        <v>79559</v>
      </c>
      <c r="H20">
        <v>80005</v>
      </c>
      <c r="I20" s="3" t="s">
        <v>67</v>
      </c>
      <c r="J20" s="3" t="s">
        <v>68</v>
      </c>
      <c r="K20">
        <v>446</v>
      </c>
      <c r="L20" s="3" t="s">
        <v>69</v>
      </c>
      <c r="M20">
        <v>1990.6306204800001</v>
      </c>
      <c r="N20">
        <v>1742.3223089400001</v>
      </c>
      <c r="O20">
        <v>1937.99492891</v>
      </c>
      <c r="P20" s="4">
        <f t="shared" si="0"/>
        <v>1890.3159527766668</v>
      </c>
      <c r="Q20" s="4">
        <f t="shared" si="1"/>
        <v>106.83076326228522</v>
      </c>
      <c r="R20" s="4">
        <f t="shared" si="2"/>
        <v>5.6514765748742979E-2</v>
      </c>
      <c r="S20" t="s">
        <v>16</v>
      </c>
    </row>
    <row r="21" spans="1:19" x14ac:dyDescent="0.35">
      <c r="A21" t="s">
        <v>10</v>
      </c>
      <c r="B21">
        <v>159980</v>
      </c>
      <c r="C21">
        <v>161068</v>
      </c>
      <c r="D21" t="s">
        <v>36</v>
      </c>
      <c r="E21">
        <v>2408.1839666533333</v>
      </c>
      <c r="F21" t="s">
        <v>13</v>
      </c>
      <c r="G21">
        <v>159980</v>
      </c>
      <c r="H21">
        <v>161068</v>
      </c>
      <c r="I21" s="3" t="s">
        <v>67</v>
      </c>
      <c r="J21" s="3" t="s">
        <v>68</v>
      </c>
      <c r="K21">
        <v>1088</v>
      </c>
      <c r="L21" s="3" t="s">
        <v>69</v>
      </c>
      <c r="M21">
        <v>2275.93454505</v>
      </c>
      <c r="N21">
        <v>2498.76863714</v>
      </c>
      <c r="O21">
        <v>2449.8487177699999</v>
      </c>
      <c r="P21" s="4">
        <f t="shared" si="0"/>
        <v>2408.1839666533333</v>
      </c>
      <c r="Q21" s="4">
        <f t="shared" si="1"/>
        <v>95.623294803459473</v>
      </c>
      <c r="R21" s="4">
        <f t="shared" si="2"/>
        <v>3.9707637010949669E-2</v>
      </c>
      <c r="S21" t="s">
        <v>16</v>
      </c>
    </row>
    <row r="22" spans="1:19" x14ac:dyDescent="0.35">
      <c r="A22" t="s">
        <v>10</v>
      </c>
      <c r="B22">
        <v>308298</v>
      </c>
      <c r="C22">
        <v>309068</v>
      </c>
      <c r="D22" t="s">
        <v>60</v>
      </c>
      <c r="E22">
        <v>2713.8029124333334</v>
      </c>
      <c r="F22" t="s">
        <v>13</v>
      </c>
      <c r="G22">
        <v>308298</v>
      </c>
      <c r="H22">
        <v>309068</v>
      </c>
      <c r="I22" s="3" t="s">
        <v>67</v>
      </c>
      <c r="J22" s="3" t="s">
        <v>68</v>
      </c>
      <c r="K22">
        <v>770</v>
      </c>
      <c r="L22" s="3" t="s">
        <v>69</v>
      </c>
      <c r="M22">
        <v>2665.7106230700001</v>
      </c>
      <c r="N22">
        <v>2813.29449144</v>
      </c>
      <c r="O22">
        <v>2662.4036227900001</v>
      </c>
      <c r="P22" s="4">
        <f t="shared" si="0"/>
        <v>2713.8029124333334</v>
      </c>
      <c r="Q22" s="4">
        <f t="shared" si="1"/>
        <v>70.364123351998145</v>
      </c>
      <c r="R22" s="4">
        <f t="shared" si="2"/>
        <v>2.5928236361462999E-2</v>
      </c>
      <c r="S22" t="s">
        <v>16</v>
      </c>
    </row>
    <row r="23" spans="1:19" x14ac:dyDescent="0.35">
      <c r="A23" t="s">
        <v>10</v>
      </c>
      <c r="B23">
        <v>231089</v>
      </c>
      <c r="C23">
        <v>233059</v>
      </c>
      <c r="D23" t="s">
        <v>47</v>
      </c>
      <c r="E23">
        <v>2895.5062884133331</v>
      </c>
      <c r="F23" t="s">
        <v>13</v>
      </c>
      <c r="G23">
        <v>231089</v>
      </c>
      <c r="H23">
        <v>233059</v>
      </c>
      <c r="I23" s="3" t="s">
        <v>67</v>
      </c>
      <c r="J23" s="3" t="s">
        <v>68</v>
      </c>
      <c r="K23">
        <v>1970</v>
      </c>
      <c r="L23" s="3" t="s">
        <v>69</v>
      </c>
      <c r="M23">
        <v>2855.8137787400001</v>
      </c>
      <c r="N23">
        <v>2721.5504523700001</v>
      </c>
      <c r="O23">
        <v>3109.15463413</v>
      </c>
      <c r="P23" s="4">
        <f t="shared" si="0"/>
        <v>2895.5062884133331</v>
      </c>
      <c r="Q23" s="4">
        <f t="shared" si="1"/>
        <v>160.70858081754793</v>
      </c>
      <c r="R23" s="4">
        <f t="shared" si="2"/>
        <v>5.5502756620021819E-2</v>
      </c>
      <c r="S23" t="s">
        <v>16</v>
      </c>
    </row>
    <row r="24" spans="1:19" x14ac:dyDescent="0.35">
      <c r="A24" t="s">
        <v>10</v>
      </c>
      <c r="B24">
        <v>219910</v>
      </c>
      <c r="C24">
        <v>222610</v>
      </c>
      <c r="D24" t="s">
        <v>46</v>
      </c>
      <c r="E24">
        <v>3002.8418516999996</v>
      </c>
      <c r="F24" t="s">
        <v>11</v>
      </c>
      <c r="G24">
        <v>219910</v>
      </c>
      <c r="H24">
        <v>222610</v>
      </c>
      <c r="I24" s="3" t="s">
        <v>67</v>
      </c>
      <c r="J24" s="3" t="s">
        <v>68</v>
      </c>
      <c r="K24">
        <v>2700</v>
      </c>
      <c r="L24" s="3" t="s">
        <v>69</v>
      </c>
      <c r="M24">
        <v>2996.0572393000002</v>
      </c>
      <c r="N24">
        <v>2822.6795797899999</v>
      </c>
      <c r="O24">
        <v>3189.7887360099999</v>
      </c>
      <c r="P24" s="4">
        <f t="shared" si="0"/>
        <v>3002.8418516999996</v>
      </c>
      <c r="Q24" s="4">
        <f t="shared" si="1"/>
        <v>149.94844974013293</v>
      </c>
      <c r="R24" s="4">
        <f t="shared" si="2"/>
        <v>4.9935513472093969E-2</v>
      </c>
      <c r="S24" t="s">
        <v>16</v>
      </c>
    </row>
    <row r="25" spans="1:19" x14ac:dyDescent="0.35">
      <c r="A25" t="s">
        <v>10</v>
      </c>
      <c r="B25">
        <v>92819</v>
      </c>
      <c r="C25">
        <v>98042</v>
      </c>
      <c r="D25" t="s">
        <v>27</v>
      </c>
      <c r="E25">
        <v>3455.8903322433339</v>
      </c>
      <c r="F25" t="s">
        <v>11</v>
      </c>
      <c r="G25">
        <v>92819</v>
      </c>
      <c r="H25">
        <v>98042</v>
      </c>
      <c r="I25" s="3" t="s">
        <v>67</v>
      </c>
      <c r="J25" s="3" t="s">
        <v>68</v>
      </c>
      <c r="K25">
        <v>5223</v>
      </c>
      <c r="L25" s="3" t="s">
        <v>69</v>
      </c>
      <c r="M25">
        <v>3341.1816656000001</v>
      </c>
      <c r="N25">
        <v>3461.2758556499998</v>
      </c>
      <c r="O25">
        <v>3565.2134754799999</v>
      </c>
      <c r="P25" s="4">
        <f t="shared" si="0"/>
        <v>3455.8903322433339</v>
      </c>
      <c r="Q25" s="4">
        <f t="shared" si="1"/>
        <v>91.539848722837334</v>
      </c>
      <c r="R25" s="4">
        <f t="shared" si="2"/>
        <v>2.6488065280536769E-2</v>
      </c>
      <c r="S25" t="s">
        <v>16</v>
      </c>
    </row>
    <row r="26" spans="1:19" x14ac:dyDescent="0.35">
      <c r="A26" t="s">
        <v>10</v>
      </c>
      <c r="B26">
        <v>161832</v>
      </c>
      <c r="C26">
        <v>163357</v>
      </c>
      <c r="D26" t="s">
        <v>70</v>
      </c>
      <c r="E26">
        <v>3535.5404466433338</v>
      </c>
      <c r="F26" t="s">
        <v>13</v>
      </c>
      <c r="G26">
        <v>161832</v>
      </c>
      <c r="H26">
        <v>163357</v>
      </c>
      <c r="I26" s="3" t="s">
        <v>67</v>
      </c>
      <c r="J26" s="3" t="s">
        <v>68</v>
      </c>
      <c r="K26">
        <v>1525</v>
      </c>
      <c r="L26" s="3" t="s">
        <v>69</v>
      </c>
      <c r="M26">
        <v>3349.74036944</v>
      </c>
      <c r="N26">
        <v>3544.6873919200002</v>
      </c>
      <c r="O26">
        <v>3712.1935785700002</v>
      </c>
      <c r="P26" s="4">
        <f t="shared" si="0"/>
        <v>3535.5404466433338</v>
      </c>
      <c r="Q26" s="4">
        <f t="shared" si="1"/>
        <v>148.11219206641897</v>
      </c>
      <c r="R26" s="4">
        <f t="shared" si="2"/>
        <v>4.1892376654052335E-2</v>
      </c>
      <c r="S26" t="s">
        <v>16</v>
      </c>
    </row>
    <row r="27" spans="1:19" x14ac:dyDescent="0.35">
      <c r="A27" t="s">
        <v>10</v>
      </c>
      <c r="B27">
        <v>17814</v>
      </c>
      <c r="C27">
        <v>18434</v>
      </c>
      <c r="D27" t="s">
        <v>17</v>
      </c>
      <c r="E27">
        <v>4101.6555927333329</v>
      </c>
      <c r="F27" t="s">
        <v>11</v>
      </c>
      <c r="G27">
        <v>17814</v>
      </c>
      <c r="H27">
        <v>18434</v>
      </c>
      <c r="I27" s="3" t="s">
        <v>67</v>
      </c>
      <c r="J27" s="3" t="s">
        <v>68</v>
      </c>
      <c r="K27">
        <v>620</v>
      </c>
      <c r="L27" s="3" t="s">
        <v>69</v>
      </c>
      <c r="M27">
        <v>4035.2379855700001</v>
      </c>
      <c r="N27">
        <v>4263.7591591199998</v>
      </c>
      <c r="O27">
        <v>4005.9696335100002</v>
      </c>
      <c r="P27" s="4">
        <f t="shared" si="0"/>
        <v>4101.6555927333329</v>
      </c>
      <c r="Q27" s="4">
        <f t="shared" si="1"/>
        <v>115.24563269970885</v>
      </c>
      <c r="R27" s="4">
        <f t="shared" si="2"/>
        <v>2.8097345107152075E-2</v>
      </c>
      <c r="S27" t="s">
        <v>16</v>
      </c>
    </row>
    <row r="28" spans="1:19" x14ac:dyDescent="0.35">
      <c r="A28" t="s">
        <v>10</v>
      </c>
      <c r="B28">
        <v>189483</v>
      </c>
      <c r="C28">
        <v>191770</v>
      </c>
      <c r="D28" t="s">
        <v>43</v>
      </c>
      <c r="E28">
        <v>4174.6080338366664</v>
      </c>
      <c r="F28" t="s">
        <v>13</v>
      </c>
      <c r="G28">
        <v>189483</v>
      </c>
      <c r="H28">
        <v>191770</v>
      </c>
      <c r="I28" s="3" t="s">
        <v>67</v>
      </c>
      <c r="J28" s="3" t="s">
        <v>68</v>
      </c>
      <c r="K28">
        <v>2287</v>
      </c>
      <c r="L28" s="3" t="s">
        <v>69</v>
      </c>
      <c r="M28">
        <v>4134.1953664499997</v>
      </c>
      <c r="N28">
        <v>4111.81522494</v>
      </c>
      <c r="O28">
        <v>4277.8135101199996</v>
      </c>
      <c r="P28" s="4">
        <f t="shared" si="0"/>
        <v>4174.6080338366664</v>
      </c>
      <c r="Q28" s="4">
        <f t="shared" si="1"/>
        <v>73.547016411971171</v>
      </c>
      <c r="R28" s="4">
        <f t="shared" si="2"/>
        <v>1.7617705857854615E-2</v>
      </c>
      <c r="S28" t="s">
        <v>16</v>
      </c>
    </row>
    <row r="29" spans="1:19" x14ac:dyDescent="0.35">
      <c r="A29" t="s">
        <v>10</v>
      </c>
      <c r="B29">
        <v>239250</v>
      </c>
      <c r="C29">
        <v>245330</v>
      </c>
      <c r="D29" t="s">
        <v>48</v>
      </c>
      <c r="E29">
        <v>4202.1528668633337</v>
      </c>
      <c r="F29" t="s">
        <v>11</v>
      </c>
      <c r="G29">
        <v>239250</v>
      </c>
      <c r="H29">
        <v>245330</v>
      </c>
      <c r="I29" s="3" t="s">
        <v>67</v>
      </c>
      <c r="J29" s="3" t="s">
        <v>68</v>
      </c>
      <c r="K29">
        <v>6080</v>
      </c>
      <c r="L29" s="3" t="s">
        <v>69</v>
      </c>
      <c r="M29">
        <v>4204.1107551900004</v>
      </c>
      <c r="N29">
        <v>4096.17193374</v>
      </c>
      <c r="O29">
        <v>4306.1759116599997</v>
      </c>
      <c r="P29" s="4">
        <f t="shared" si="0"/>
        <v>4202.1528668633337</v>
      </c>
      <c r="Q29" s="4">
        <f t="shared" si="1"/>
        <v>85.744942243768136</v>
      </c>
      <c r="R29" s="4">
        <f t="shared" si="2"/>
        <v>2.0405003092562841E-2</v>
      </c>
      <c r="S29" t="s">
        <v>16</v>
      </c>
    </row>
    <row r="30" spans="1:19" x14ac:dyDescent="0.35">
      <c r="A30" t="s">
        <v>10</v>
      </c>
      <c r="B30">
        <v>20165</v>
      </c>
      <c r="C30">
        <v>23418</v>
      </c>
      <c r="D30" t="s">
        <v>19</v>
      </c>
      <c r="E30">
        <v>4653.9928162833339</v>
      </c>
      <c r="F30" t="s">
        <v>13</v>
      </c>
      <c r="G30">
        <v>20165</v>
      </c>
      <c r="H30">
        <v>23418</v>
      </c>
      <c r="I30" s="3" t="s">
        <v>67</v>
      </c>
      <c r="J30" s="3" t="s">
        <v>68</v>
      </c>
      <c r="K30">
        <v>3253</v>
      </c>
      <c r="L30" s="3" t="s">
        <v>69</v>
      </c>
      <c r="M30">
        <v>4557.63117685</v>
      </c>
      <c r="N30">
        <v>4611.6240629200001</v>
      </c>
      <c r="O30">
        <v>4792.7232090799998</v>
      </c>
      <c r="P30" s="4">
        <f t="shared" si="0"/>
        <v>4653.9928162833339</v>
      </c>
      <c r="Q30" s="4">
        <f t="shared" si="1"/>
        <v>100.54318922957118</v>
      </c>
      <c r="R30" s="4">
        <f t="shared" si="2"/>
        <v>2.1603640830254806E-2</v>
      </c>
      <c r="S30" t="s">
        <v>16</v>
      </c>
    </row>
    <row r="31" spans="1:19" x14ac:dyDescent="0.35">
      <c r="A31" t="s">
        <v>10</v>
      </c>
      <c r="B31">
        <v>218904</v>
      </c>
      <c r="C31">
        <v>219746</v>
      </c>
      <c r="D31" t="s">
        <v>45</v>
      </c>
      <c r="E31">
        <v>4764.7902021033333</v>
      </c>
      <c r="F31" t="s">
        <v>11</v>
      </c>
      <c r="G31">
        <v>218904</v>
      </c>
      <c r="H31">
        <v>219746</v>
      </c>
      <c r="I31" s="3" t="s">
        <v>67</v>
      </c>
      <c r="J31" s="3" t="s">
        <v>68</v>
      </c>
      <c r="K31">
        <v>842</v>
      </c>
      <c r="L31" s="3" t="s">
        <v>69</v>
      </c>
      <c r="M31">
        <v>4554.2130460099997</v>
      </c>
      <c r="N31">
        <v>4903.1414456100001</v>
      </c>
      <c r="O31">
        <v>4837.01611469</v>
      </c>
      <c r="P31" s="4">
        <f t="shared" si="0"/>
        <v>4764.7902021033333</v>
      </c>
      <c r="Q31" s="4">
        <f t="shared" si="1"/>
        <v>151.32788649945303</v>
      </c>
      <c r="R31" s="4">
        <f t="shared" si="2"/>
        <v>3.175961166824344E-2</v>
      </c>
      <c r="S31" t="s">
        <v>16</v>
      </c>
    </row>
    <row r="32" spans="1:19" x14ac:dyDescent="0.35">
      <c r="A32" t="s">
        <v>10</v>
      </c>
      <c r="B32">
        <v>82937</v>
      </c>
      <c r="C32">
        <v>83321</v>
      </c>
      <c r="D32" t="s">
        <v>26</v>
      </c>
      <c r="E32">
        <v>5539.4652130566656</v>
      </c>
      <c r="F32" t="s">
        <v>11</v>
      </c>
      <c r="G32">
        <v>82937</v>
      </c>
      <c r="H32">
        <v>83321</v>
      </c>
      <c r="I32" s="3" t="s">
        <v>67</v>
      </c>
      <c r="J32" s="3" t="s">
        <v>68</v>
      </c>
      <c r="K32">
        <v>384</v>
      </c>
      <c r="L32" s="3" t="s">
        <v>69</v>
      </c>
      <c r="M32">
        <v>5324.9103041799999</v>
      </c>
      <c r="N32">
        <v>5646.9959700099998</v>
      </c>
      <c r="O32">
        <v>5646.4893649799997</v>
      </c>
      <c r="P32" s="4">
        <f t="shared" si="0"/>
        <v>5539.4652130566656</v>
      </c>
      <c r="Q32" s="4">
        <f t="shared" si="1"/>
        <v>151.71337197595147</v>
      </c>
      <c r="R32" s="4">
        <f t="shared" si="2"/>
        <v>2.7387728984805078E-2</v>
      </c>
      <c r="S32" t="s">
        <v>16</v>
      </c>
    </row>
    <row r="33" spans="1:19" x14ac:dyDescent="0.35">
      <c r="A33" t="s">
        <v>10</v>
      </c>
      <c r="B33">
        <v>207580</v>
      </c>
      <c r="C33">
        <v>215562</v>
      </c>
      <c r="D33" t="s">
        <v>44</v>
      </c>
      <c r="E33">
        <v>5803.8375735533336</v>
      </c>
      <c r="F33" t="s">
        <v>11</v>
      </c>
      <c r="G33">
        <v>207580</v>
      </c>
      <c r="H33">
        <v>215562</v>
      </c>
      <c r="I33" s="3" t="s">
        <v>67</v>
      </c>
      <c r="J33" s="3" t="s">
        <v>68</v>
      </c>
      <c r="K33">
        <v>7982</v>
      </c>
      <c r="L33" s="3" t="s">
        <v>69</v>
      </c>
      <c r="M33">
        <v>5804.1886162600003</v>
      </c>
      <c r="N33">
        <v>5880.15225345</v>
      </c>
      <c r="O33">
        <v>5727.1718509499997</v>
      </c>
      <c r="P33" s="4">
        <f t="shared" si="0"/>
        <v>5803.8375735533336</v>
      </c>
      <c r="Q33" s="4">
        <f t="shared" si="1"/>
        <v>62.454481080233968</v>
      </c>
      <c r="R33" s="4">
        <f t="shared" si="2"/>
        <v>1.0760894027224976E-2</v>
      </c>
      <c r="S33" t="s">
        <v>16</v>
      </c>
    </row>
    <row r="34" spans="1:19" x14ac:dyDescent="0.35">
      <c r="A34" t="s">
        <v>10</v>
      </c>
      <c r="B34">
        <v>288044</v>
      </c>
      <c r="C34">
        <v>288400</v>
      </c>
      <c r="D34" t="s">
        <v>55</v>
      </c>
      <c r="E34">
        <v>6601.1709407166663</v>
      </c>
      <c r="F34" t="s">
        <v>13</v>
      </c>
      <c r="G34">
        <v>288044</v>
      </c>
      <c r="H34">
        <v>288400</v>
      </c>
      <c r="I34" s="3" t="s">
        <v>67</v>
      </c>
      <c r="J34" s="3" t="s">
        <v>68</v>
      </c>
      <c r="K34">
        <v>356</v>
      </c>
      <c r="L34" s="3" t="s">
        <v>69</v>
      </c>
      <c r="M34">
        <v>6183.7022918399998</v>
      </c>
      <c r="N34">
        <v>6792.5333791700004</v>
      </c>
      <c r="O34">
        <v>6827.2771511399997</v>
      </c>
      <c r="P34" s="4">
        <f t="shared" ref="P34:P62" si="3">AVERAGE(M34:O34)</f>
        <v>6601.1709407166663</v>
      </c>
      <c r="Q34" s="4">
        <f t="shared" ref="Q34:Q62" si="4">_xlfn.STDEV.P(M34:O34)</f>
        <v>295.53548802003246</v>
      </c>
      <c r="R34" s="4">
        <f t="shared" ref="R34:R62" si="5">Q34/P34</f>
        <v>4.4770161335641337E-2</v>
      </c>
      <c r="S34" t="s">
        <v>16</v>
      </c>
    </row>
    <row r="35" spans="1:19" x14ac:dyDescent="0.35">
      <c r="A35" t="s">
        <v>10</v>
      </c>
      <c r="B35">
        <v>234352</v>
      </c>
      <c r="C35">
        <v>236628</v>
      </c>
      <c r="D35" t="s">
        <v>71</v>
      </c>
      <c r="E35">
        <v>7510.9467539966672</v>
      </c>
      <c r="F35" t="s">
        <v>13</v>
      </c>
      <c r="G35">
        <v>234352</v>
      </c>
      <c r="H35">
        <v>236628</v>
      </c>
      <c r="I35" s="3" t="s">
        <v>67</v>
      </c>
      <c r="J35" s="3" t="s">
        <v>68</v>
      </c>
      <c r="K35">
        <v>2276</v>
      </c>
      <c r="L35" s="3" t="s">
        <v>69</v>
      </c>
      <c r="M35">
        <v>7379.2932374599995</v>
      </c>
      <c r="N35">
        <v>7544.9337536200001</v>
      </c>
      <c r="O35">
        <v>7608.6132709100002</v>
      </c>
      <c r="P35" s="4">
        <f t="shared" si="3"/>
        <v>7510.9467539966672</v>
      </c>
      <c r="Q35" s="4">
        <f t="shared" si="4"/>
        <v>96.654906903977064</v>
      </c>
      <c r="R35" s="4">
        <f t="shared" si="5"/>
        <v>1.286853842394047E-2</v>
      </c>
      <c r="S35" t="s">
        <v>16</v>
      </c>
    </row>
    <row r="36" spans="1:19" x14ac:dyDescent="0.35">
      <c r="A36" t="s">
        <v>10</v>
      </c>
      <c r="B36">
        <v>288446</v>
      </c>
      <c r="C36">
        <v>288823</v>
      </c>
      <c r="D36" t="s">
        <v>56</v>
      </c>
      <c r="E36">
        <v>8041.9517778899999</v>
      </c>
      <c r="F36" t="s">
        <v>13</v>
      </c>
      <c r="G36">
        <v>288446</v>
      </c>
      <c r="H36">
        <v>288823</v>
      </c>
      <c r="I36" s="3" t="s">
        <v>67</v>
      </c>
      <c r="J36" s="3" t="s">
        <v>68</v>
      </c>
      <c r="K36">
        <v>377</v>
      </c>
      <c r="L36" s="3" t="s">
        <v>69</v>
      </c>
      <c r="M36">
        <v>7433.1487697900002</v>
      </c>
      <c r="N36">
        <v>8186.2229665599998</v>
      </c>
      <c r="O36">
        <v>8506.4835973200006</v>
      </c>
      <c r="P36" s="4">
        <f t="shared" si="3"/>
        <v>8041.9517778899999</v>
      </c>
      <c r="Q36" s="4">
        <f t="shared" si="4"/>
        <v>449.90557891436504</v>
      </c>
      <c r="R36" s="4">
        <f t="shared" si="5"/>
        <v>5.5944824259118925E-2</v>
      </c>
      <c r="S36" t="s">
        <v>16</v>
      </c>
    </row>
    <row r="37" spans="1:19" x14ac:dyDescent="0.35">
      <c r="A37" t="s">
        <v>10</v>
      </c>
      <c r="B37">
        <v>184762</v>
      </c>
      <c r="C37">
        <v>185319</v>
      </c>
      <c r="D37" t="s">
        <v>41</v>
      </c>
      <c r="E37">
        <v>9304.1603416966664</v>
      </c>
      <c r="F37" t="s">
        <v>11</v>
      </c>
      <c r="G37">
        <v>184762</v>
      </c>
      <c r="H37">
        <v>185319</v>
      </c>
      <c r="I37" s="3" t="s">
        <v>67</v>
      </c>
      <c r="J37" s="3" t="s">
        <v>68</v>
      </c>
      <c r="K37">
        <v>557</v>
      </c>
      <c r="L37" s="3" t="s">
        <v>69</v>
      </c>
      <c r="M37">
        <v>8797.9534510800004</v>
      </c>
      <c r="N37">
        <v>9908.5803145600003</v>
      </c>
      <c r="O37">
        <v>9205.9472594500003</v>
      </c>
      <c r="P37" s="4">
        <f t="shared" si="3"/>
        <v>9304.1603416966664</v>
      </c>
      <c r="Q37" s="4">
        <f t="shared" si="4"/>
        <v>458.69914948990873</v>
      </c>
      <c r="R37" s="4">
        <f t="shared" si="5"/>
        <v>4.9300434713516805E-2</v>
      </c>
      <c r="S37" t="s">
        <v>16</v>
      </c>
    </row>
    <row r="38" spans="1:19" x14ac:dyDescent="0.35">
      <c r="A38" t="s">
        <v>10</v>
      </c>
      <c r="B38">
        <v>23285</v>
      </c>
      <c r="C38">
        <v>23824</v>
      </c>
      <c r="D38" t="s">
        <v>20</v>
      </c>
      <c r="E38">
        <v>11505.745437600001</v>
      </c>
      <c r="F38" t="s">
        <v>13</v>
      </c>
      <c r="G38">
        <v>23285</v>
      </c>
      <c r="H38">
        <v>23824</v>
      </c>
      <c r="I38" s="3" t="s">
        <v>67</v>
      </c>
      <c r="J38" s="3" t="s">
        <v>68</v>
      </c>
      <c r="K38">
        <v>539</v>
      </c>
      <c r="L38" s="3" t="s">
        <v>69</v>
      </c>
      <c r="M38">
        <v>11028.203751999999</v>
      </c>
      <c r="N38">
        <v>11655.2138328</v>
      </c>
      <c r="O38">
        <v>11833.818728</v>
      </c>
      <c r="P38" s="4">
        <f t="shared" si="3"/>
        <v>11505.745437600001</v>
      </c>
      <c r="Q38" s="4">
        <f t="shared" si="4"/>
        <v>345.45571183739122</v>
      </c>
      <c r="R38" s="4">
        <f t="shared" si="5"/>
        <v>3.0024626714620788E-2</v>
      </c>
      <c r="S38" t="s">
        <v>16</v>
      </c>
    </row>
    <row r="39" spans="1:19" x14ac:dyDescent="0.35">
      <c r="A39" t="s">
        <v>10</v>
      </c>
      <c r="B39">
        <v>6264</v>
      </c>
      <c r="C39">
        <v>8389</v>
      </c>
      <c r="D39" t="s">
        <v>15</v>
      </c>
      <c r="E39">
        <v>12476.0007212</v>
      </c>
      <c r="F39" t="s">
        <v>13</v>
      </c>
      <c r="G39">
        <v>6264</v>
      </c>
      <c r="H39">
        <v>8389</v>
      </c>
      <c r="I39" s="3" t="s">
        <v>67</v>
      </c>
      <c r="J39" s="3" t="s">
        <v>68</v>
      </c>
      <c r="K39">
        <v>2125</v>
      </c>
      <c r="L39" s="3" t="s">
        <v>69</v>
      </c>
      <c r="M39">
        <v>11766.029301</v>
      </c>
      <c r="N39">
        <v>13027.6630301</v>
      </c>
      <c r="O39">
        <v>12634.309832499999</v>
      </c>
      <c r="P39" s="4">
        <f t="shared" si="3"/>
        <v>12476.0007212</v>
      </c>
      <c r="Q39" s="4">
        <f t="shared" si="4"/>
        <v>527.08395766464616</v>
      </c>
      <c r="R39" s="4">
        <f t="shared" si="5"/>
        <v>4.224783000925867E-2</v>
      </c>
      <c r="S39" t="s">
        <v>16</v>
      </c>
    </row>
    <row r="40" spans="1:19" x14ac:dyDescent="0.35">
      <c r="A40" t="s">
        <v>10</v>
      </c>
      <c r="B40">
        <v>26817</v>
      </c>
      <c r="C40">
        <v>28336</v>
      </c>
      <c r="D40" t="s">
        <v>22</v>
      </c>
      <c r="E40">
        <v>15801.701747733334</v>
      </c>
      <c r="F40" t="s">
        <v>13</v>
      </c>
      <c r="G40">
        <v>26817</v>
      </c>
      <c r="H40">
        <v>28336</v>
      </c>
      <c r="I40" s="3" t="s">
        <v>67</v>
      </c>
      <c r="J40" s="3" t="s">
        <v>68</v>
      </c>
      <c r="K40">
        <v>1519</v>
      </c>
      <c r="L40" s="3" t="s">
        <v>69</v>
      </c>
      <c r="M40">
        <v>15539.976004</v>
      </c>
      <c r="N40">
        <v>16227.213567500001</v>
      </c>
      <c r="O40">
        <v>15637.915671700001</v>
      </c>
      <c r="P40" s="4">
        <f t="shared" si="3"/>
        <v>15801.701747733334</v>
      </c>
      <c r="Q40" s="4">
        <f t="shared" si="4"/>
        <v>303.52734769501086</v>
      </c>
      <c r="R40" s="4">
        <f t="shared" si="5"/>
        <v>1.920852276170509E-2</v>
      </c>
      <c r="S40" t="s">
        <v>16</v>
      </c>
    </row>
    <row r="41" spans="1:19" x14ac:dyDescent="0.35">
      <c r="A41" t="s">
        <v>10</v>
      </c>
      <c r="B41">
        <v>362206</v>
      </c>
      <c r="C41">
        <v>362784</v>
      </c>
      <c r="D41" t="s">
        <v>66</v>
      </c>
      <c r="E41">
        <v>17302.8285039</v>
      </c>
      <c r="F41" t="s">
        <v>13</v>
      </c>
      <c r="G41">
        <v>362206</v>
      </c>
      <c r="H41">
        <v>362784</v>
      </c>
      <c r="I41" s="3" t="s">
        <v>67</v>
      </c>
      <c r="J41" s="3" t="s">
        <v>68</v>
      </c>
      <c r="K41">
        <v>578</v>
      </c>
      <c r="L41" s="3" t="s">
        <v>69</v>
      </c>
      <c r="M41">
        <v>18044.266224899999</v>
      </c>
      <c r="N41">
        <v>16659.360233799998</v>
      </c>
      <c r="O41">
        <v>17204.859053</v>
      </c>
      <c r="P41" s="4">
        <f t="shared" si="3"/>
        <v>17302.8285039</v>
      </c>
      <c r="Q41" s="4">
        <f t="shared" si="4"/>
        <v>569.61370596127335</v>
      </c>
      <c r="R41" s="4">
        <f t="shared" si="5"/>
        <v>3.2920265367762519E-2</v>
      </c>
      <c r="S41" t="s">
        <v>16</v>
      </c>
    </row>
    <row r="42" spans="1:19" x14ac:dyDescent="0.35">
      <c r="A42" t="s">
        <v>10</v>
      </c>
      <c r="B42">
        <v>264467</v>
      </c>
      <c r="C42">
        <v>265516</v>
      </c>
      <c r="D42" t="s">
        <v>52</v>
      </c>
      <c r="E42">
        <v>17850.663516266664</v>
      </c>
      <c r="F42" t="s">
        <v>11</v>
      </c>
      <c r="G42">
        <v>264467</v>
      </c>
      <c r="H42">
        <v>265516</v>
      </c>
      <c r="I42" s="3" t="s">
        <v>67</v>
      </c>
      <c r="J42" s="3" t="s">
        <v>68</v>
      </c>
      <c r="K42">
        <v>1049</v>
      </c>
      <c r="L42" s="3" t="s">
        <v>69</v>
      </c>
      <c r="M42">
        <v>17326.761625899999</v>
      </c>
      <c r="N42">
        <v>18429.564789399999</v>
      </c>
      <c r="O42">
        <v>17795.664133499999</v>
      </c>
      <c r="P42" s="4">
        <f t="shared" si="3"/>
        <v>17850.663516266664</v>
      </c>
      <c r="Q42" s="4">
        <f t="shared" si="4"/>
        <v>451.89409042011755</v>
      </c>
      <c r="R42" s="4">
        <f t="shared" si="5"/>
        <v>2.5315254528680282E-2</v>
      </c>
      <c r="S42" t="s">
        <v>16</v>
      </c>
    </row>
    <row r="43" spans="1:19" x14ac:dyDescent="0.35">
      <c r="A43" t="s">
        <v>10</v>
      </c>
      <c r="B43">
        <v>49423</v>
      </c>
      <c r="C43">
        <v>50580</v>
      </c>
      <c r="D43" t="s">
        <v>23</v>
      </c>
      <c r="E43">
        <v>20041.132934466663</v>
      </c>
      <c r="F43" t="s">
        <v>13</v>
      </c>
      <c r="G43">
        <v>49423</v>
      </c>
      <c r="H43">
        <v>50580</v>
      </c>
      <c r="I43" s="3" t="s">
        <v>67</v>
      </c>
      <c r="J43" s="3" t="s">
        <v>68</v>
      </c>
      <c r="K43">
        <v>1157</v>
      </c>
      <c r="L43" s="3" t="s">
        <v>69</v>
      </c>
      <c r="M43">
        <v>19605.825327899998</v>
      </c>
      <c r="N43">
        <v>20302.320297599999</v>
      </c>
      <c r="O43">
        <v>20215.253177899998</v>
      </c>
      <c r="P43" s="4">
        <f t="shared" si="3"/>
        <v>20041.132934466663</v>
      </c>
      <c r="Q43" s="4">
        <f t="shared" si="4"/>
        <v>309.85448744457852</v>
      </c>
      <c r="R43" s="4">
        <f t="shared" si="5"/>
        <v>1.5460926707975275E-2</v>
      </c>
      <c r="S43" t="s">
        <v>16</v>
      </c>
    </row>
    <row r="44" spans="1:19" x14ac:dyDescent="0.35">
      <c r="A44" t="s">
        <v>10</v>
      </c>
      <c r="B44">
        <v>24665</v>
      </c>
      <c r="C44">
        <v>25237</v>
      </c>
      <c r="D44" t="s">
        <v>21</v>
      </c>
      <c r="E44">
        <v>20279.933067366666</v>
      </c>
      <c r="F44" t="s">
        <v>13</v>
      </c>
      <c r="G44">
        <v>24665</v>
      </c>
      <c r="H44">
        <v>25237</v>
      </c>
      <c r="I44" s="3" t="s">
        <v>67</v>
      </c>
      <c r="J44" s="3" t="s">
        <v>68</v>
      </c>
      <c r="K44">
        <v>572</v>
      </c>
      <c r="L44" s="3" t="s">
        <v>69</v>
      </c>
      <c r="M44">
        <v>19613.9088548</v>
      </c>
      <c r="N44">
        <v>21212.290501799998</v>
      </c>
      <c r="O44">
        <v>20013.599845500001</v>
      </c>
      <c r="P44" s="4">
        <f t="shared" si="3"/>
        <v>20279.933067366666</v>
      </c>
      <c r="Q44" s="4">
        <f t="shared" si="4"/>
        <v>679.16910568184494</v>
      </c>
      <c r="R44" s="4">
        <f t="shared" si="5"/>
        <v>3.3489711402190273E-2</v>
      </c>
      <c r="S44" t="s">
        <v>16</v>
      </c>
    </row>
    <row r="45" spans="1:19" x14ac:dyDescent="0.35">
      <c r="A45" t="s">
        <v>10</v>
      </c>
      <c r="B45">
        <v>181677</v>
      </c>
      <c r="C45">
        <v>182858</v>
      </c>
      <c r="D45" t="s">
        <v>40</v>
      </c>
      <c r="E45">
        <v>22387.532457266669</v>
      </c>
      <c r="F45" t="s">
        <v>11</v>
      </c>
      <c r="G45">
        <v>181677</v>
      </c>
      <c r="H45">
        <v>182858</v>
      </c>
      <c r="I45" s="3" t="s">
        <v>67</v>
      </c>
      <c r="J45" s="3" t="s">
        <v>68</v>
      </c>
      <c r="K45">
        <v>1181</v>
      </c>
      <c r="L45" s="3" t="s">
        <v>69</v>
      </c>
      <c r="M45">
        <v>20829.066638100001</v>
      </c>
      <c r="N45">
        <v>24121.4022166</v>
      </c>
      <c r="O45">
        <v>22212.128517100002</v>
      </c>
      <c r="P45" s="4">
        <f t="shared" si="3"/>
        <v>22387.532457266669</v>
      </c>
      <c r="Q45" s="4">
        <f t="shared" si="4"/>
        <v>1349.8007993857768</v>
      </c>
      <c r="R45" s="4">
        <f t="shared" si="5"/>
        <v>6.0292522276060447E-2</v>
      </c>
      <c r="S45" t="s">
        <v>16</v>
      </c>
    </row>
    <row r="46" spans="1:19" x14ac:dyDescent="0.35">
      <c r="A46" t="s">
        <v>10</v>
      </c>
      <c r="B46">
        <v>165838</v>
      </c>
      <c r="C46">
        <v>166455</v>
      </c>
      <c r="D46" t="s">
        <v>37</v>
      </c>
      <c r="E46">
        <v>24757.5417361</v>
      </c>
      <c r="F46" t="s">
        <v>13</v>
      </c>
      <c r="G46">
        <v>165838</v>
      </c>
      <c r="H46">
        <v>166455</v>
      </c>
      <c r="I46" s="3" t="s">
        <v>67</v>
      </c>
      <c r="J46" s="3" t="s">
        <v>68</v>
      </c>
      <c r="K46">
        <v>617</v>
      </c>
      <c r="L46" s="3" t="s">
        <v>69</v>
      </c>
      <c r="M46">
        <v>24098.366550499999</v>
      </c>
      <c r="N46">
        <v>25797.670969999999</v>
      </c>
      <c r="O46">
        <v>24376.587687800002</v>
      </c>
      <c r="P46" s="4">
        <f t="shared" si="3"/>
        <v>24757.5417361</v>
      </c>
      <c r="Q46" s="4">
        <f t="shared" si="4"/>
        <v>744.20130239076946</v>
      </c>
      <c r="R46" s="4">
        <f t="shared" si="5"/>
        <v>3.0059579837267068E-2</v>
      </c>
      <c r="S46" t="s">
        <v>16</v>
      </c>
    </row>
    <row r="47" spans="1:19" x14ac:dyDescent="0.35">
      <c r="A47" t="s">
        <v>10</v>
      </c>
      <c r="B47">
        <v>329976</v>
      </c>
      <c r="C47">
        <v>330773</v>
      </c>
      <c r="D47" t="s">
        <v>63</v>
      </c>
      <c r="E47">
        <v>25334.952533400003</v>
      </c>
      <c r="F47" t="s">
        <v>11</v>
      </c>
      <c r="G47">
        <v>329976</v>
      </c>
      <c r="H47">
        <v>330773</v>
      </c>
      <c r="I47" s="3" t="s">
        <v>67</v>
      </c>
      <c r="J47" s="3" t="s">
        <v>68</v>
      </c>
      <c r="K47">
        <v>797</v>
      </c>
      <c r="L47" s="3" t="s">
        <v>69</v>
      </c>
      <c r="M47">
        <v>23755.7145232</v>
      </c>
      <c r="N47">
        <v>26651.257942799999</v>
      </c>
      <c r="O47">
        <v>25597.885134200002</v>
      </c>
      <c r="P47" s="4">
        <f t="shared" si="3"/>
        <v>25334.952533400003</v>
      </c>
      <c r="Q47" s="4">
        <f t="shared" si="4"/>
        <v>1196.6322431779959</v>
      </c>
      <c r="R47" s="4">
        <f t="shared" si="5"/>
        <v>4.7232464382967819E-2</v>
      </c>
      <c r="S47" t="s">
        <v>16</v>
      </c>
    </row>
    <row r="48" spans="1:19" x14ac:dyDescent="0.35">
      <c r="A48" t="s">
        <v>10</v>
      </c>
      <c r="B48">
        <v>361637</v>
      </c>
      <c r="C48">
        <v>361939</v>
      </c>
      <c r="D48" t="s">
        <v>65</v>
      </c>
      <c r="E48">
        <v>26370.63568143333</v>
      </c>
      <c r="F48" t="s">
        <v>13</v>
      </c>
      <c r="G48">
        <v>361637</v>
      </c>
      <c r="H48">
        <v>361939</v>
      </c>
      <c r="I48" s="3" t="s">
        <v>67</v>
      </c>
      <c r="J48" s="3" t="s">
        <v>68</v>
      </c>
      <c r="K48">
        <v>302</v>
      </c>
      <c r="L48" s="3" t="s">
        <v>69</v>
      </c>
      <c r="M48">
        <v>26441.746856099999</v>
      </c>
      <c r="N48">
        <v>26887.050204499999</v>
      </c>
      <c r="O48">
        <v>25783.1099837</v>
      </c>
      <c r="P48" s="4">
        <f t="shared" si="3"/>
        <v>26370.63568143333</v>
      </c>
      <c r="Q48" s="4">
        <f t="shared" si="4"/>
        <v>453.47811571367851</v>
      </c>
      <c r="R48" s="4">
        <f t="shared" si="5"/>
        <v>1.7196328567572493E-2</v>
      </c>
      <c r="S48" t="s">
        <v>16</v>
      </c>
    </row>
    <row r="49" spans="1:19" x14ac:dyDescent="0.35">
      <c r="A49" t="s">
        <v>10</v>
      </c>
      <c r="B49">
        <v>114762</v>
      </c>
      <c r="C49">
        <v>116345</v>
      </c>
      <c r="D49" t="s">
        <v>30</v>
      </c>
      <c r="E49">
        <v>32588.239496666665</v>
      </c>
      <c r="F49" t="s">
        <v>11</v>
      </c>
      <c r="G49">
        <v>114762</v>
      </c>
      <c r="H49">
        <v>116345</v>
      </c>
      <c r="I49" s="3" t="s">
        <v>67</v>
      </c>
      <c r="J49" s="3" t="s">
        <v>68</v>
      </c>
      <c r="K49">
        <v>1583</v>
      </c>
      <c r="L49" s="3" t="s">
        <v>69</v>
      </c>
      <c r="M49">
        <v>31796.9378985</v>
      </c>
      <c r="N49">
        <v>33083.991962599997</v>
      </c>
      <c r="O49">
        <v>32883.788628900002</v>
      </c>
      <c r="P49" s="4">
        <f t="shared" si="3"/>
        <v>32588.239496666665</v>
      </c>
      <c r="Q49" s="4">
        <f t="shared" si="4"/>
        <v>565.47266845356194</v>
      </c>
      <c r="R49" s="4">
        <f t="shared" si="5"/>
        <v>1.7352047155275208E-2</v>
      </c>
      <c r="S49" t="s">
        <v>16</v>
      </c>
    </row>
    <row r="50" spans="1:19" x14ac:dyDescent="0.35">
      <c r="A50" t="s">
        <v>10</v>
      </c>
      <c r="B50">
        <v>247016</v>
      </c>
      <c r="C50">
        <v>247492</v>
      </c>
      <c r="D50" t="s">
        <v>49</v>
      </c>
      <c r="E50">
        <v>42831.4825298</v>
      </c>
      <c r="F50" t="s">
        <v>11</v>
      </c>
      <c r="G50">
        <v>247016</v>
      </c>
      <c r="H50">
        <v>247492</v>
      </c>
      <c r="I50" s="3" t="s">
        <v>67</v>
      </c>
      <c r="J50" s="3" t="s">
        <v>68</v>
      </c>
      <c r="K50">
        <v>476</v>
      </c>
      <c r="L50" s="3" t="s">
        <v>69</v>
      </c>
      <c r="M50">
        <v>41564.738403000003</v>
      </c>
      <c r="N50">
        <v>43263.891210900001</v>
      </c>
      <c r="O50">
        <v>43665.817975500002</v>
      </c>
      <c r="P50" s="4">
        <f t="shared" si="3"/>
        <v>42831.4825298</v>
      </c>
      <c r="Q50" s="4">
        <f t="shared" si="4"/>
        <v>910.62864480613064</v>
      </c>
      <c r="R50" s="4">
        <f t="shared" si="5"/>
        <v>2.1260731383102624E-2</v>
      </c>
      <c r="S50" t="s">
        <v>16</v>
      </c>
    </row>
    <row r="51" spans="1:19" x14ac:dyDescent="0.35">
      <c r="A51" t="s">
        <v>10</v>
      </c>
      <c r="B51">
        <v>67098</v>
      </c>
      <c r="C51">
        <v>68621</v>
      </c>
      <c r="D51" t="s">
        <v>24</v>
      </c>
      <c r="E51">
        <v>52994.103724299996</v>
      </c>
      <c r="F51" t="s">
        <v>11</v>
      </c>
      <c r="G51">
        <v>67098</v>
      </c>
      <c r="H51">
        <v>68621</v>
      </c>
      <c r="I51" s="3" t="s">
        <v>67</v>
      </c>
      <c r="J51" s="3" t="s">
        <v>68</v>
      </c>
      <c r="K51">
        <v>1523</v>
      </c>
      <c r="L51" s="3" t="s">
        <v>69</v>
      </c>
      <c r="M51">
        <v>50793.588736600002</v>
      </c>
      <c r="N51">
        <v>53173.393409600001</v>
      </c>
      <c r="O51">
        <v>55015.329026699997</v>
      </c>
      <c r="P51" s="4">
        <f t="shared" si="3"/>
        <v>52994.103724299996</v>
      </c>
      <c r="Q51" s="4">
        <f t="shared" si="4"/>
        <v>1728.1746367588023</v>
      </c>
      <c r="R51" s="4">
        <f t="shared" si="5"/>
        <v>3.261069657389757E-2</v>
      </c>
      <c r="S51" t="s">
        <v>16</v>
      </c>
    </row>
    <row r="52" spans="1:19" x14ac:dyDescent="0.35">
      <c r="A52" t="s">
        <v>10</v>
      </c>
      <c r="B52">
        <v>270961</v>
      </c>
      <c r="C52">
        <v>271185</v>
      </c>
      <c r="D52" t="s">
        <v>53</v>
      </c>
      <c r="E52">
        <v>193298.23169566665</v>
      </c>
      <c r="F52" t="s">
        <v>11</v>
      </c>
      <c r="G52">
        <v>270961</v>
      </c>
      <c r="H52">
        <v>271185</v>
      </c>
      <c r="I52" s="3" t="s">
        <v>67</v>
      </c>
      <c r="J52" s="3" t="s">
        <v>68</v>
      </c>
      <c r="K52">
        <v>224</v>
      </c>
      <c r="L52" s="3" t="s">
        <v>69</v>
      </c>
      <c r="M52">
        <v>187965.307741</v>
      </c>
      <c r="N52">
        <v>199786.59616399999</v>
      </c>
      <c r="O52">
        <v>192142.79118199999</v>
      </c>
      <c r="P52" s="4">
        <f t="shared" si="3"/>
        <v>193298.23169566665</v>
      </c>
      <c r="Q52" s="4">
        <f t="shared" si="4"/>
        <v>4894.690802655814</v>
      </c>
      <c r="R52" s="4">
        <f t="shared" si="5"/>
        <v>2.5321963681292917E-2</v>
      </c>
      <c r="S52" t="s">
        <v>16</v>
      </c>
    </row>
    <row r="53" spans="1:19" x14ac:dyDescent="0.35">
      <c r="A53" t="s">
        <v>10</v>
      </c>
      <c r="B53">
        <v>124603</v>
      </c>
      <c r="C53">
        <v>124676</v>
      </c>
      <c r="D53" t="s">
        <v>31</v>
      </c>
      <c r="E53">
        <v>26.619554227199998</v>
      </c>
      <c r="F53" t="s">
        <v>11</v>
      </c>
      <c r="G53">
        <v>124603</v>
      </c>
      <c r="H53">
        <v>124676</v>
      </c>
      <c r="I53" s="3" t="s">
        <v>67</v>
      </c>
      <c r="J53" s="3" t="s">
        <v>68</v>
      </c>
      <c r="K53">
        <v>73</v>
      </c>
      <c r="L53" s="3" t="s">
        <v>69</v>
      </c>
      <c r="M53">
        <v>29.258865333799999</v>
      </c>
      <c r="N53">
        <v>0</v>
      </c>
      <c r="O53">
        <v>50.599797347799999</v>
      </c>
      <c r="P53" s="4">
        <f t="shared" si="3"/>
        <v>26.619554227199998</v>
      </c>
      <c r="Q53" s="4">
        <f t="shared" si="4"/>
        <v>20.741413408085659</v>
      </c>
      <c r="R53" s="4">
        <f t="shared" si="5"/>
        <v>0.77917959222968414</v>
      </c>
      <c r="S53" t="s">
        <v>18</v>
      </c>
    </row>
    <row r="54" spans="1:19" x14ac:dyDescent="0.35">
      <c r="A54" t="s">
        <v>10</v>
      </c>
      <c r="B54">
        <v>298901</v>
      </c>
      <c r="C54">
        <v>298974</v>
      </c>
      <c r="D54" t="s">
        <v>59</v>
      </c>
      <c r="E54">
        <v>247.04102703933333</v>
      </c>
      <c r="F54" t="s">
        <v>13</v>
      </c>
      <c r="G54">
        <v>298901</v>
      </c>
      <c r="H54">
        <v>298974</v>
      </c>
      <c r="I54" s="3" t="s">
        <v>67</v>
      </c>
      <c r="J54" s="3" t="s">
        <v>68</v>
      </c>
      <c r="K54">
        <v>73</v>
      </c>
      <c r="L54" s="3" t="s">
        <v>69</v>
      </c>
      <c r="M54">
        <v>185.306147114</v>
      </c>
      <c r="N54">
        <v>262.33810938699997</v>
      </c>
      <c r="O54">
        <v>293.47882461699999</v>
      </c>
      <c r="P54" s="4">
        <f t="shared" si="3"/>
        <v>247.04102703933333</v>
      </c>
      <c r="Q54" s="4">
        <f t="shared" si="4"/>
        <v>45.466710062091828</v>
      </c>
      <c r="R54" s="4">
        <f t="shared" si="5"/>
        <v>0.18404517908214782</v>
      </c>
      <c r="S54" t="s">
        <v>18</v>
      </c>
    </row>
    <row r="55" spans="1:19" x14ac:dyDescent="0.35">
      <c r="A55" t="s">
        <v>10</v>
      </c>
      <c r="B55">
        <v>44462</v>
      </c>
      <c r="C55">
        <v>44544</v>
      </c>
      <c r="D55" t="s">
        <v>80</v>
      </c>
      <c r="E55">
        <v>302.20802658600002</v>
      </c>
      <c r="F55" t="s">
        <v>13</v>
      </c>
      <c r="G55">
        <v>44462</v>
      </c>
      <c r="H55">
        <v>44544</v>
      </c>
      <c r="I55" s="3" t="s">
        <v>67</v>
      </c>
      <c r="J55" s="3" t="s">
        <v>68</v>
      </c>
      <c r="K55">
        <v>82</v>
      </c>
      <c r="L55" s="3" t="s">
        <v>69</v>
      </c>
      <c r="M55">
        <v>303.88780865000001</v>
      </c>
      <c r="N55">
        <v>296.42237594400001</v>
      </c>
      <c r="O55">
        <v>306.31389516399997</v>
      </c>
      <c r="P55" s="4">
        <f t="shared" si="3"/>
        <v>302.20802658600002</v>
      </c>
      <c r="Q55" s="4">
        <f t="shared" si="4"/>
        <v>4.2092587595133084</v>
      </c>
      <c r="R55" s="4">
        <f t="shared" si="5"/>
        <v>1.3928348651307149E-2</v>
      </c>
      <c r="S55" t="s">
        <v>18</v>
      </c>
    </row>
    <row r="56" spans="1:19" x14ac:dyDescent="0.35">
      <c r="A56" t="s">
        <v>10</v>
      </c>
      <c r="B56">
        <v>149673</v>
      </c>
      <c r="C56">
        <v>149743</v>
      </c>
      <c r="D56" t="s">
        <v>35</v>
      </c>
      <c r="E56">
        <v>341.04999447733331</v>
      </c>
      <c r="F56" t="s">
        <v>13</v>
      </c>
      <c r="G56">
        <v>149673</v>
      </c>
      <c r="H56">
        <v>149743</v>
      </c>
      <c r="I56" s="3" t="s">
        <v>67</v>
      </c>
      <c r="J56" s="3" t="s">
        <v>68</v>
      </c>
      <c r="K56">
        <v>70</v>
      </c>
      <c r="L56" s="3" t="s">
        <v>69</v>
      </c>
      <c r="M56">
        <v>264.44441144500001</v>
      </c>
      <c r="N56">
        <v>389.327051348</v>
      </c>
      <c r="O56">
        <v>369.37852063899999</v>
      </c>
      <c r="P56" s="4">
        <f t="shared" si="3"/>
        <v>341.04999447733331</v>
      </c>
      <c r="Q56" s="4">
        <f t="shared" si="4"/>
        <v>54.777108863434101</v>
      </c>
      <c r="R56" s="4">
        <f t="shared" si="5"/>
        <v>0.16061313517210646</v>
      </c>
      <c r="S56" t="s">
        <v>18</v>
      </c>
    </row>
    <row r="57" spans="1:19" x14ac:dyDescent="0.35">
      <c r="A57" t="s">
        <v>10</v>
      </c>
      <c r="B57">
        <v>50626</v>
      </c>
      <c r="C57">
        <v>50712</v>
      </c>
      <c r="D57" t="s">
        <v>77</v>
      </c>
      <c r="E57">
        <v>412.7508472726667</v>
      </c>
      <c r="F57" t="s">
        <v>13</v>
      </c>
      <c r="G57">
        <v>50626</v>
      </c>
      <c r="H57">
        <v>50712</v>
      </c>
      <c r="I57" s="3" t="s">
        <v>67</v>
      </c>
      <c r="J57" s="3" t="s">
        <v>68</v>
      </c>
      <c r="K57">
        <v>86</v>
      </c>
      <c r="L57" s="3" t="s">
        <v>69</v>
      </c>
      <c r="M57">
        <v>389.097546357</v>
      </c>
      <c r="N57">
        <v>428.23528589599999</v>
      </c>
      <c r="O57">
        <v>420.91970956500001</v>
      </c>
      <c r="P57" s="4">
        <f t="shared" si="3"/>
        <v>412.7508472726667</v>
      </c>
      <c r="Q57" s="4">
        <f t="shared" si="4"/>
        <v>16.989965615405268</v>
      </c>
      <c r="R57" s="4">
        <f t="shared" si="5"/>
        <v>4.1162763753653915E-2</v>
      </c>
      <c r="S57" t="s">
        <v>18</v>
      </c>
    </row>
    <row r="58" spans="1:19" x14ac:dyDescent="0.35">
      <c r="A58" t="s">
        <v>10</v>
      </c>
      <c r="B58">
        <v>346454</v>
      </c>
      <c r="C58">
        <v>346526</v>
      </c>
      <c r="D58" t="s">
        <v>64</v>
      </c>
      <c r="E58">
        <v>523.25276526433333</v>
      </c>
      <c r="F58" t="s">
        <v>13</v>
      </c>
      <c r="G58">
        <v>346454</v>
      </c>
      <c r="H58">
        <v>346526</v>
      </c>
      <c r="I58" s="3" t="s">
        <v>67</v>
      </c>
      <c r="J58" s="3" t="s">
        <v>68</v>
      </c>
      <c r="K58">
        <v>72</v>
      </c>
      <c r="L58" s="3" t="s">
        <v>69</v>
      </c>
      <c r="M58">
        <v>504.30905387799999</v>
      </c>
      <c r="N58">
        <v>552.42351880499996</v>
      </c>
      <c r="O58">
        <v>513.02572310999994</v>
      </c>
      <c r="P58" s="4">
        <f t="shared" si="3"/>
        <v>523.25276526433333</v>
      </c>
      <c r="Q58" s="4">
        <f t="shared" si="4"/>
        <v>20.93155078221648</v>
      </c>
      <c r="R58" s="4">
        <f t="shared" si="5"/>
        <v>4.0002752344065334E-2</v>
      </c>
      <c r="S58" t="s">
        <v>18</v>
      </c>
    </row>
    <row r="59" spans="1:19" x14ac:dyDescent="0.35">
      <c r="A59" t="s">
        <v>10</v>
      </c>
      <c r="B59">
        <v>19928</v>
      </c>
      <c r="C59">
        <v>20000</v>
      </c>
      <c r="D59" t="s">
        <v>74</v>
      </c>
      <c r="E59">
        <v>630.49832899800003</v>
      </c>
      <c r="F59" t="s">
        <v>13</v>
      </c>
      <c r="G59">
        <v>19928</v>
      </c>
      <c r="H59">
        <v>20000</v>
      </c>
      <c r="I59" s="3" t="s">
        <v>67</v>
      </c>
      <c r="J59" s="3" t="s">
        <v>68</v>
      </c>
      <c r="K59">
        <v>72</v>
      </c>
      <c r="L59" s="3" t="s">
        <v>69</v>
      </c>
      <c r="M59">
        <v>672.41207183799997</v>
      </c>
      <c r="N59">
        <v>644.49410527299995</v>
      </c>
      <c r="O59">
        <v>574.58880988299995</v>
      </c>
      <c r="P59" s="4">
        <f t="shared" si="3"/>
        <v>630.49832899800003</v>
      </c>
      <c r="Q59" s="4">
        <f t="shared" si="4"/>
        <v>41.14412845946979</v>
      </c>
      <c r="R59" s="4">
        <f t="shared" si="5"/>
        <v>6.5256522606264203E-2</v>
      </c>
      <c r="S59" t="s">
        <v>18</v>
      </c>
    </row>
    <row r="60" spans="1:19" x14ac:dyDescent="0.35">
      <c r="A60" t="s">
        <v>10</v>
      </c>
      <c r="B60">
        <v>250307</v>
      </c>
      <c r="C60">
        <v>250380</v>
      </c>
      <c r="D60" t="s">
        <v>50</v>
      </c>
      <c r="E60">
        <v>821.42903948533331</v>
      </c>
      <c r="F60" t="s">
        <v>13</v>
      </c>
      <c r="G60">
        <v>250307</v>
      </c>
      <c r="H60">
        <v>250380</v>
      </c>
      <c r="I60" s="3" t="s">
        <v>67</v>
      </c>
      <c r="J60" s="3" t="s">
        <v>68</v>
      </c>
      <c r="K60">
        <v>73</v>
      </c>
      <c r="L60" s="3" t="s">
        <v>69</v>
      </c>
      <c r="M60">
        <v>877.76596001400003</v>
      </c>
      <c r="N60">
        <v>776.92440087700004</v>
      </c>
      <c r="O60">
        <v>809.59675756499996</v>
      </c>
      <c r="P60" s="4">
        <f t="shared" si="3"/>
        <v>821.42903948533331</v>
      </c>
      <c r="Q60" s="4">
        <f t="shared" si="4"/>
        <v>42.009976464937886</v>
      </c>
      <c r="R60" s="4">
        <f t="shared" si="5"/>
        <v>5.1142550902825705E-2</v>
      </c>
      <c r="S60" t="s">
        <v>18</v>
      </c>
    </row>
    <row r="61" spans="1:19" x14ac:dyDescent="0.35">
      <c r="A61" t="s">
        <v>10</v>
      </c>
      <c r="B61">
        <v>98586</v>
      </c>
      <c r="C61">
        <v>98660</v>
      </c>
      <c r="D61" t="s">
        <v>28</v>
      </c>
      <c r="E61">
        <v>1404.073489066667</v>
      </c>
      <c r="F61" t="s">
        <v>11</v>
      </c>
      <c r="G61">
        <v>98586</v>
      </c>
      <c r="H61">
        <v>98660</v>
      </c>
      <c r="I61" s="3" t="s">
        <v>67</v>
      </c>
      <c r="J61" s="3" t="s">
        <v>68</v>
      </c>
      <c r="K61">
        <v>74</v>
      </c>
      <c r="L61" s="3" t="s">
        <v>69</v>
      </c>
      <c r="M61">
        <v>1491.2795551900001</v>
      </c>
      <c r="N61">
        <v>1502.99011423</v>
      </c>
      <c r="O61">
        <v>1217.9507977799999</v>
      </c>
      <c r="P61" s="4">
        <f t="shared" si="3"/>
        <v>1404.073489066667</v>
      </c>
      <c r="Q61" s="4">
        <f t="shared" si="4"/>
        <v>131.69542248967559</v>
      </c>
      <c r="R61" s="4">
        <f t="shared" si="5"/>
        <v>9.3795248977471823E-2</v>
      </c>
      <c r="S61" t="s">
        <v>18</v>
      </c>
    </row>
    <row r="62" spans="1:19" x14ac:dyDescent="0.35">
      <c r="A62" t="s">
        <v>10</v>
      </c>
      <c r="B62">
        <v>264335</v>
      </c>
      <c r="C62">
        <v>264421</v>
      </c>
      <c r="D62" t="s">
        <v>78</v>
      </c>
      <c r="E62">
        <v>3196.3008029266671</v>
      </c>
      <c r="F62" t="s">
        <v>11</v>
      </c>
      <c r="G62">
        <v>264335</v>
      </c>
      <c r="H62">
        <v>264421</v>
      </c>
      <c r="I62" s="3" t="s">
        <v>67</v>
      </c>
      <c r="J62" s="3" t="s">
        <v>68</v>
      </c>
      <c r="K62">
        <v>86</v>
      </c>
      <c r="L62" s="3" t="s">
        <v>69</v>
      </c>
      <c r="M62">
        <v>3104.5016996600002</v>
      </c>
      <c r="N62">
        <v>3288.84699568</v>
      </c>
      <c r="O62">
        <v>3195.5537134400001</v>
      </c>
      <c r="P62" s="4">
        <f t="shared" si="3"/>
        <v>3196.3008029266671</v>
      </c>
      <c r="Q62" s="4">
        <f t="shared" si="4"/>
        <v>75.260506013894386</v>
      </c>
      <c r="R62" s="4">
        <f t="shared" si="5"/>
        <v>2.3546127431117468E-2</v>
      </c>
      <c r="S62" t="s">
        <v>18</v>
      </c>
    </row>
  </sheetData>
  <sortState xmlns:xlrd2="http://schemas.microsoft.com/office/spreadsheetml/2017/richdata2" ref="A2:S269">
    <sortCondition ref="S247:S26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3879-EC69-440A-BB58-C807BA1AD828}">
  <dimension ref="A1:M26"/>
  <sheetViews>
    <sheetView topLeftCell="A6" workbookViewId="0">
      <selection activeCell="A2" sqref="A2:L2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2" t="s">
        <v>6</v>
      </c>
      <c r="J1" s="2" t="s">
        <v>8</v>
      </c>
      <c r="K1" s="1" t="s">
        <v>7</v>
      </c>
      <c r="L1" s="2" t="s">
        <v>9</v>
      </c>
      <c r="M1" s="1" t="s">
        <v>14</v>
      </c>
    </row>
    <row r="2" spans="1:13" x14ac:dyDescent="0.35">
      <c r="A2" t="s">
        <v>10</v>
      </c>
      <c r="B2">
        <v>124603</v>
      </c>
      <c r="C2">
        <v>124676</v>
      </c>
      <c r="D2" t="s">
        <v>31</v>
      </c>
      <c r="E2">
        <v>26.619554227199998</v>
      </c>
      <c r="F2" t="s">
        <v>11</v>
      </c>
      <c r="G2">
        <v>124603</v>
      </c>
      <c r="H2">
        <v>124676</v>
      </c>
      <c r="I2" s="3" t="s">
        <v>67</v>
      </c>
      <c r="J2" s="3" t="s">
        <v>68</v>
      </c>
      <c r="K2">
        <v>73</v>
      </c>
      <c r="L2" s="3" t="s">
        <v>69</v>
      </c>
      <c r="M2" t="s">
        <v>18</v>
      </c>
    </row>
    <row r="3" spans="1:13" x14ac:dyDescent="0.35">
      <c r="A3" t="s">
        <v>10</v>
      </c>
      <c r="B3">
        <v>274937</v>
      </c>
      <c r="C3">
        <v>275010</v>
      </c>
      <c r="D3" t="s">
        <v>54</v>
      </c>
      <c r="E3">
        <v>53.526026984833329</v>
      </c>
      <c r="F3" t="s">
        <v>11</v>
      </c>
      <c r="G3">
        <v>274937</v>
      </c>
      <c r="H3">
        <v>275010</v>
      </c>
      <c r="I3" s="3" t="s">
        <v>67</v>
      </c>
      <c r="J3" s="3" t="s">
        <v>68</v>
      </c>
      <c r="K3">
        <v>73</v>
      </c>
      <c r="L3" s="3" t="s">
        <v>69</v>
      </c>
      <c r="M3" t="s">
        <v>18</v>
      </c>
    </row>
    <row r="4" spans="1:13" x14ac:dyDescent="0.35">
      <c r="A4" t="s">
        <v>10</v>
      </c>
      <c r="B4">
        <v>180658</v>
      </c>
      <c r="C4">
        <v>180744</v>
      </c>
      <c r="D4" t="s">
        <v>39</v>
      </c>
      <c r="E4">
        <v>95.816811836699983</v>
      </c>
      <c r="F4" t="s">
        <v>11</v>
      </c>
      <c r="G4">
        <v>180658</v>
      </c>
      <c r="H4">
        <v>180744</v>
      </c>
      <c r="I4" s="3" t="s">
        <v>67</v>
      </c>
      <c r="J4" s="3" t="s">
        <v>68</v>
      </c>
      <c r="K4">
        <v>86</v>
      </c>
      <c r="L4" s="3" t="s">
        <v>69</v>
      </c>
      <c r="M4" t="s">
        <v>18</v>
      </c>
    </row>
    <row r="5" spans="1:13" x14ac:dyDescent="0.35">
      <c r="A5" t="s">
        <v>10</v>
      </c>
      <c r="B5">
        <v>321367</v>
      </c>
      <c r="C5">
        <v>321438</v>
      </c>
      <c r="D5" t="s">
        <v>62</v>
      </c>
      <c r="E5">
        <v>177.65294597033332</v>
      </c>
      <c r="F5" t="s">
        <v>11</v>
      </c>
      <c r="G5">
        <v>321367</v>
      </c>
      <c r="H5">
        <v>321438</v>
      </c>
      <c r="I5" s="3" t="s">
        <v>67</v>
      </c>
      <c r="J5" s="3" t="s">
        <v>68</v>
      </c>
      <c r="K5">
        <v>71</v>
      </c>
      <c r="L5" s="3" t="s">
        <v>69</v>
      </c>
      <c r="M5" t="s">
        <v>18</v>
      </c>
    </row>
    <row r="6" spans="1:13" x14ac:dyDescent="0.35">
      <c r="A6" t="s">
        <v>10</v>
      </c>
      <c r="B6">
        <v>294477</v>
      </c>
      <c r="C6">
        <v>294548</v>
      </c>
      <c r="D6" t="s">
        <v>58</v>
      </c>
      <c r="E6">
        <v>207.90295641333333</v>
      </c>
      <c r="F6" t="s">
        <v>13</v>
      </c>
      <c r="G6">
        <v>294477</v>
      </c>
      <c r="H6">
        <v>294548</v>
      </c>
      <c r="I6" s="3" t="s">
        <v>67</v>
      </c>
      <c r="J6" s="3" t="s">
        <v>68</v>
      </c>
      <c r="K6">
        <v>71</v>
      </c>
      <c r="L6" s="3" t="s">
        <v>69</v>
      </c>
      <c r="M6" t="s">
        <v>18</v>
      </c>
    </row>
    <row r="7" spans="1:13" x14ac:dyDescent="0.35">
      <c r="A7" t="s">
        <v>10</v>
      </c>
      <c r="B7">
        <v>298901</v>
      </c>
      <c r="C7">
        <v>298974</v>
      </c>
      <c r="D7" t="s">
        <v>59</v>
      </c>
      <c r="E7">
        <v>247.04102703933333</v>
      </c>
      <c r="F7" t="s">
        <v>13</v>
      </c>
      <c r="G7">
        <v>298901</v>
      </c>
      <c r="H7">
        <v>298974</v>
      </c>
      <c r="I7" s="3" t="s">
        <v>67</v>
      </c>
      <c r="J7" s="3" t="s">
        <v>68</v>
      </c>
      <c r="K7">
        <v>73</v>
      </c>
      <c r="L7" s="3" t="s">
        <v>69</v>
      </c>
      <c r="M7" t="s">
        <v>18</v>
      </c>
    </row>
    <row r="8" spans="1:13" x14ac:dyDescent="0.35">
      <c r="A8" t="s">
        <v>10</v>
      </c>
      <c r="B8">
        <v>44462</v>
      </c>
      <c r="C8">
        <v>44544</v>
      </c>
      <c r="D8" t="s">
        <v>80</v>
      </c>
      <c r="E8">
        <v>302.20802658600002</v>
      </c>
      <c r="F8" t="s">
        <v>13</v>
      </c>
      <c r="G8">
        <v>44462</v>
      </c>
      <c r="H8">
        <v>44544</v>
      </c>
      <c r="I8" s="3" t="s">
        <v>67</v>
      </c>
      <c r="J8" s="3" t="s">
        <v>68</v>
      </c>
      <c r="K8">
        <v>82</v>
      </c>
      <c r="L8" s="3" t="s">
        <v>69</v>
      </c>
      <c r="M8" t="s">
        <v>18</v>
      </c>
    </row>
    <row r="9" spans="1:13" x14ac:dyDescent="0.35">
      <c r="A9" t="s">
        <v>10</v>
      </c>
      <c r="B9">
        <v>102603</v>
      </c>
      <c r="C9">
        <v>102675</v>
      </c>
      <c r="D9" t="s">
        <v>29</v>
      </c>
      <c r="E9">
        <v>333.83741433499995</v>
      </c>
      <c r="F9" t="s">
        <v>13</v>
      </c>
      <c r="G9">
        <v>102603</v>
      </c>
      <c r="H9">
        <v>102675</v>
      </c>
      <c r="I9" s="3" t="s">
        <v>67</v>
      </c>
      <c r="J9" s="3" t="s">
        <v>68</v>
      </c>
      <c r="K9">
        <v>72</v>
      </c>
      <c r="L9" s="3" t="s">
        <v>69</v>
      </c>
      <c r="M9" t="s">
        <v>18</v>
      </c>
    </row>
    <row r="10" spans="1:13" x14ac:dyDescent="0.35">
      <c r="A10" t="s">
        <v>10</v>
      </c>
      <c r="B10">
        <v>149673</v>
      </c>
      <c r="C10">
        <v>149743</v>
      </c>
      <c r="D10" t="s">
        <v>35</v>
      </c>
      <c r="E10">
        <v>341.04999447733331</v>
      </c>
      <c r="F10" t="s">
        <v>13</v>
      </c>
      <c r="G10">
        <v>149673</v>
      </c>
      <c r="H10">
        <v>149743</v>
      </c>
      <c r="I10" s="3" t="s">
        <v>67</v>
      </c>
      <c r="J10" s="3" t="s">
        <v>68</v>
      </c>
      <c r="K10">
        <v>70</v>
      </c>
      <c r="L10" s="3" t="s">
        <v>69</v>
      </c>
      <c r="M10" t="s">
        <v>18</v>
      </c>
    </row>
    <row r="11" spans="1:13" x14ac:dyDescent="0.35">
      <c r="A11" t="s">
        <v>10</v>
      </c>
      <c r="B11">
        <v>360107</v>
      </c>
      <c r="C11">
        <v>360128</v>
      </c>
      <c r="D11" t="s">
        <v>72</v>
      </c>
      <c r="E11">
        <v>381.02201637600001</v>
      </c>
      <c r="F11" t="s">
        <v>13</v>
      </c>
      <c r="G11">
        <v>360107</v>
      </c>
      <c r="H11">
        <v>360128</v>
      </c>
      <c r="I11" s="3" t="s">
        <v>67</v>
      </c>
      <c r="J11" s="3" t="s">
        <v>68</v>
      </c>
      <c r="K11">
        <v>21</v>
      </c>
      <c r="L11" s="3" t="s">
        <v>69</v>
      </c>
      <c r="M11" t="s">
        <v>16</v>
      </c>
    </row>
    <row r="12" spans="1:13" x14ac:dyDescent="0.35">
      <c r="A12" t="s">
        <v>10</v>
      </c>
      <c r="B12">
        <v>50626</v>
      </c>
      <c r="C12">
        <v>50712</v>
      </c>
      <c r="D12" t="s">
        <v>77</v>
      </c>
      <c r="E12">
        <v>412.7508472726667</v>
      </c>
      <c r="F12" t="s">
        <v>13</v>
      </c>
      <c r="G12">
        <v>50626</v>
      </c>
      <c r="H12">
        <v>50712</v>
      </c>
      <c r="I12" s="3" t="s">
        <v>67</v>
      </c>
      <c r="J12" s="3" t="s">
        <v>68</v>
      </c>
      <c r="K12">
        <v>86</v>
      </c>
      <c r="L12" s="3" t="s">
        <v>69</v>
      </c>
      <c r="M12" t="s">
        <v>18</v>
      </c>
    </row>
    <row r="13" spans="1:13" x14ac:dyDescent="0.35">
      <c r="A13" t="s">
        <v>10</v>
      </c>
      <c r="B13">
        <v>42116</v>
      </c>
      <c r="C13">
        <v>42190</v>
      </c>
      <c r="D13" t="s">
        <v>76</v>
      </c>
      <c r="E13">
        <v>499.23840154033331</v>
      </c>
      <c r="F13" t="s">
        <v>13</v>
      </c>
      <c r="G13">
        <v>42116</v>
      </c>
      <c r="H13">
        <v>42190</v>
      </c>
      <c r="I13" s="3" t="s">
        <v>67</v>
      </c>
      <c r="J13" s="3" t="s">
        <v>68</v>
      </c>
      <c r="K13">
        <v>74</v>
      </c>
      <c r="L13" s="3" t="s">
        <v>69</v>
      </c>
      <c r="M13" t="s">
        <v>18</v>
      </c>
    </row>
    <row r="14" spans="1:13" x14ac:dyDescent="0.35">
      <c r="A14" t="s">
        <v>10</v>
      </c>
      <c r="B14">
        <v>346454</v>
      </c>
      <c r="C14">
        <v>346526</v>
      </c>
      <c r="D14" t="s">
        <v>64</v>
      </c>
      <c r="E14">
        <v>523.25276526433333</v>
      </c>
      <c r="F14" t="s">
        <v>13</v>
      </c>
      <c r="G14">
        <v>346454</v>
      </c>
      <c r="H14">
        <v>346526</v>
      </c>
      <c r="I14" s="3" t="s">
        <v>67</v>
      </c>
      <c r="J14" s="3" t="s">
        <v>68</v>
      </c>
      <c r="K14">
        <v>72</v>
      </c>
      <c r="L14" s="3" t="s">
        <v>69</v>
      </c>
      <c r="M14" t="s">
        <v>18</v>
      </c>
    </row>
    <row r="15" spans="1:13" x14ac:dyDescent="0.35">
      <c r="A15" t="s">
        <v>10</v>
      </c>
      <c r="B15">
        <v>43544</v>
      </c>
      <c r="C15">
        <v>43615</v>
      </c>
      <c r="D15" t="s">
        <v>75</v>
      </c>
      <c r="E15">
        <v>529.4367632036666</v>
      </c>
      <c r="F15" t="s">
        <v>13</v>
      </c>
      <c r="G15">
        <v>43544</v>
      </c>
      <c r="H15">
        <v>43615</v>
      </c>
      <c r="I15" s="3" t="s">
        <v>67</v>
      </c>
      <c r="J15" s="3" t="s">
        <v>68</v>
      </c>
      <c r="K15">
        <v>71</v>
      </c>
      <c r="L15" s="3" t="s">
        <v>69</v>
      </c>
      <c r="M15" t="s">
        <v>18</v>
      </c>
    </row>
    <row r="16" spans="1:13" x14ac:dyDescent="0.35">
      <c r="A16" t="s">
        <v>10</v>
      </c>
      <c r="B16">
        <v>171570</v>
      </c>
      <c r="C16">
        <v>171643</v>
      </c>
      <c r="D16" t="s">
        <v>38</v>
      </c>
      <c r="E16">
        <v>598.63515263966667</v>
      </c>
      <c r="F16" t="s">
        <v>11</v>
      </c>
      <c r="G16">
        <v>171570</v>
      </c>
      <c r="H16">
        <v>171643</v>
      </c>
      <c r="I16" s="3" t="s">
        <v>67</v>
      </c>
      <c r="J16" s="3" t="s">
        <v>68</v>
      </c>
      <c r="K16">
        <v>73</v>
      </c>
      <c r="L16" s="3" t="s">
        <v>69</v>
      </c>
      <c r="M16" t="s">
        <v>18</v>
      </c>
    </row>
    <row r="17" spans="1:13" x14ac:dyDescent="0.35">
      <c r="A17" t="s">
        <v>10</v>
      </c>
      <c r="B17">
        <v>316013</v>
      </c>
      <c r="C17">
        <v>317161</v>
      </c>
      <c r="D17" t="s">
        <v>61</v>
      </c>
      <c r="E17">
        <v>628.84572256966669</v>
      </c>
      <c r="F17" t="s">
        <v>13</v>
      </c>
      <c r="G17">
        <v>316013</v>
      </c>
      <c r="H17">
        <v>317161</v>
      </c>
      <c r="I17" s="3" t="s">
        <v>67</v>
      </c>
      <c r="J17" s="3" t="s">
        <v>68</v>
      </c>
      <c r="K17">
        <v>1148</v>
      </c>
      <c r="L17" s="3" t="s">
        <v>69</v>
      </c>
      <c r="M17" t="s">
        <v>16</v>
      </c>
    </row>
    <row r="18" spans="1:13" x14ac:dyDescent="0.35">
      <c r="A18" t="s">
        <v>10</v>
      </c>
      <c r="B18">
        <v>19928</v>
      </c>
      <c r="C18">
        <v>20000</v>
      </c>
      <c r="D18" t="s">
        <v>74</v>
      </c>
      <c r="E18">
        <v>630.49832899800003</v>
      </c>
      <c r="F18" t="s">
        <v>13</v>
      </c>
      <c r="G18">
        <v>19928</v>
      </c>
      <c r="H18">
        <v>20000</v>
      </c>
      <c r="I18" s="3" t="s">
        <v>67</v>
      </c>
      <c r="J18" s="3" t="s">
        <v>68</v>
      </c>
      <c r="K18">
        <v>72</v>
      </c>
      <c r="L18" s="3" t="s">
        <v>69</v>
      </c>
      <c r="M18" t="s">
        <v>18</v>
      </c>
    </row>
    <row r="19" spans="1:13" x14ac:dyDescent="0.35">
      <c r="A19" t="s">
        <v>10</v>
      </c>
      <c r="B19">
        <v>189287</v>
      </c>
      <c r="C19">
        <v>189358</v>
      </c>
      <c r="D19" t="s">
        <v>42</v>
      </c>
      <c r="E19">
        <v>732.08964826066676</v>
      </c>
      <c r="F19" t="s">
        <v>13</v>
      </c>
      <c r="G19">
        <v>189287</v>
      </c>
      <c r="H19">
        <v>189358</v>
      </c>
      <c r="I19" s="3" t="s">
        <v>67</v>
      </c>
      <c r="J19" s="3" t="s">
        <v>68</v>
      </c>
      <c r="K19">
        <v>71</v>
      </c>
      <c r="L19" s="3" t="s">
        <v>69</v>
      </c>
      <c r="M19" t="s">
        <v>18</v>
      </c>
    </row>
    <row r="20" spans="1:13" x14ac:dyDescent="0.35">
      <c r="A20" t="s">
        <v>10</v>
      </c>
      <c r="B20">
        <v>250307</v>
      </c>
      <c r="C20">
        <v>250380</v>
      </c>
      <c r="D20" t="s">
        <v>50</v>
      </c>
      <c r="E20">
        <v>821.42903948533331</v>
      </c>
      <c r="F20" t="s">
        <v>13</v>
      </c>
      <c r="G20">
        <v>250307</v>
      </c>
      <c r="H20">
        <v>250380</v>
      </c>
      <c r="I20" s="3" t="s">
        <v>67</v>
      </c>
      <c r="J20" s="3" t="s">
        <v>68</v>
      </c>
      <c r="K20">
        <v>73</v>
      </c>
      <c r="L20" s="3" t="s">
        <v>69</v>
      </c>
      <c r="M20" t="s">
        <v>18</v>
      </c>
    </row>
    <row r="21" spans="1:13" x14ac:dyDescent="0.35">
      <c r="A21" t="s">
        <v>10</v>
      </c>
      <c r="B21">
        <v>42546</v>
      </c>
      <c r="C21">
        <v>42616</v>
      </c>
      <c r="D21" t="s">
        <v>73</v>
      </c>
      <c r="E21">
        <v>1277.8523350033331</v>
      </c>
      <c r="F21" t="s">
        <v>13</v>
      </c>
      <c r="G21">
        <v>42546</v>
      </c>
      <c r="H21">
        <v>42616</v>
      </c>
      <c r="I21" s="3" t="s">
        <v>67</v>
      </c>
      <c r="J21" s="3" t="s">
        <v>68</v>
      </c>
      <c r="K21">
        <v>70</v>
      </c>
      <c r="L21" s="3" t="s">
        <v>69</v>
      </c>
      <c r="M21" t="s">
        <v>18</v>
      </c>
    </row>
    <row r="22" spans="1:13" x14ac:dyDescent="0.35">
      <c r="A22" t="s">
        <v>10</v>
      </c>
      <c r="B22">
        <v>291580</v>
      </c>
      <c r="C22">
        <v>292191</v>
      </c>
      <c r="D22" t="s">
        <v>57</v>
      </c>
      <c r="E22">
        <v>1301.1208238433335</v>
      </c>
      <c r="F22" t="s">
        <v>13</v>
      </c>
      <c r="G22">
        <v>291580</v>
      </c>
      <c r="H22">
        <v>292191</v>
      </c>
      <c r="I22" s="3" t="s">
        <v>67</v>
      </c>
      <c r="J22" s="3" t="s">
        <v>68</v>
      </c>
      <c r="K22">
        <v>611</v>
      </c>
      <c r="L22" s="3" t="s">
        <v>69</v>
      </c>
      <c r="M22" t="s">
        <v>16</v>
      </c>
    </row>
    <row r="23" spans="1:13" x14ac:dyDescent="0.35">
      <c r="A23" t="s">
        <v>10</v>
      </c>
      <c r="B23">
        <v>98586</v>
      </c>
      <c r="C23">
        <v>98660</v>
      </c>
      <c r="D23" t="s">
        <v>28</v>
      </c>
      <c r="E23">
        <v>1404.073489066667</v>
      </c>
      <c r="F23" t="s">
        <v>11</v>
      </c>
      <c r="G23">
        <v>98586</v>
      </c>
      <c r="H23">
        <v>98660</v>
      </c>
      <c r="I23" s="3" t="s">
        <v>67</v>
      </c>
      <c r="J23" s="3" t="s">
        <v>68</v>
      </c>
      <c r="K23">
        <v>74</v>
      </c>
      <c r="L23" s="3" t="s">
        <v>69</v>
      </c>
      <c r="M23" t="s">
        <v>18</v>
      </c>
    </row>
    <row r="24" spans="1:13" x14ac:dyDescent="0.35">
      <c r="A24" t="s">
        <v>10</v>
      </c>
      <c r="B24">
        <v>126001</v>
      </c>
      <c r="C24">
        <v>126118</v>
      </c>
      <c r="D24" t="s">
        <v>32</v>
      </c>
      <c r="E24">
        <v>1862.0300115893331</v>
      </c>
      <c r="F24" t="s">
        <v>11</v>
      </c>
      <c r="G24">
        <v>126001</v>
      </c>
      <c r="H24">
        <v>126118</v>
      </c>
      <c r="I24" s="3" t="s">
        <v>67</v>
      </c>
      <c r="J24" s="3" t="s">
        <v>68</v>
      </c>
      <c r="K24">
        <v>117</v>
      </c>
      <c r="L24" s="3" t="s">
        <v>69</v>
      </c>
      <c r="M24" t="s">
        <v>293</v>
      </c>
    </row>
    <row r="25" spans="1:13" x14ac:dyDescent="0.35">
      <c r="A25" t="s">
        <v>10</v>
      </c>
      <c r="B25">
        <v>321858</v>
      </c>
      <c r="C25">
        <v>321945</v>
      </c>
      <c r="D25" t="s">
        <v>79</v>
      </c>
      <c r="E25">
        <v>1874.0161593566665</v>
      </c>
      <c r="F25" t="s">
        <v>11</v>
      </c>
      <c r="G25">
        <v>321858</v>
      </c>
      <c r="H25">
        <v>321945</v>
      </c>
      <c r="I25" s="3" t="s">
        <v>67</v>
      </c>
      <c r="J25" s="3" t="s">
        <v>68</v>
      </c>
      <c r="K25">
        <v>87</v>
      </c>
      <c r="L25" s="3" t="s">
        <v>69</v>
      </c>
      <c r="M25" t="s">
        <v>18</v>
      </c>
    </row>
    <row r="26" spans="1:13" x14ac:dyDescent="0.35">
      <c r="A26" t="s">
        <v>10</v>
      </c>
      <c r="B26">
        <v>79559</v>
      </c>
      <c r="C26">
        <v>80005</v>
      </c>
      <c r="D26" t="s">
        <v>25</v>
      </c>
      <c r="E26">
        <v>1890.3159527766668</v>
      </c>
      <c r="F26" t="s">
        <v>13</v>
      </c>
      <c r="G26">
        <v>79559</v>
      </c>
      <c r="H26">
        <v>80005</v>
      </c>
      <c r="I26" s="3" t="s">
        <v>67</v>
      </c>
      <c r="J26" s="3" t="s">
        <v>68</v>
      </c>
      <c r="K26">
        <v>446</v>
      </c>
      <c r="L26" s="3" t="s">
        <v>69</v>
      </c>
      <c r="M2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28BB-BAF3-41E9-A319-4FF81758B9CA}">
  <dimension ref="A1:R26"/>
  <sheetViews>
    <sheetView topLeftCell="A6" workbookViewId="0">
      <selection activeCell="N17" sqref="N17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2" t="s">
        <v>6</v>
      </c>
      <c r="J1" s="2" t="s">
        <v>8</v>
      </c>
      <c r="K1" s="1" t="s">
        <v>7</v>
      </c>
      <c r="L1" s="2" t="s">
        <v>9</v>
      </c>
      <c r="M1" s="1" t="s">
        <v>14</v>
      </c>
      <c r="N1" s="1"/>
      <c r="O1" s="1"/>
      <c r="P1" s="1"/>
      <c r="Q1" s="1"/>
      <c r="R1" s="1"/>
    </row>
    <row r="2" spans="1:18" x14ac:dyDescent="0.35">
      <c r="A2" t="s">
        <v>10</v>
      </c>
      <c r="B2">
        <v>20165</v>
      </c>
      <c r="C2">
        <v>23418</v>
      </c>
      <c r="D2" t="s">
        <v>19</v>
      </c>
      <c r="E2">
        <v>4653.9928162833339</v>
      </c>
      <c r="F2" t="s">
        <v>13</v>
      </c>
      <c r="G2">
        <v>20165</v>
      </c>
      <c r="H2">
        <v>23418</v>
      </c>
      <c r="I2" s="3" t="s">
        <v>67</v>
      </c>
      <c r="J2" s="3" t="s">
        <v>68</v>
      </c>
      <c r="K2">
        <v>3253</v>
      </c>
      <c r="L2" s="3" t="s">
        <v>69</v>
      </c>
      <c r="M2" t="s">
        <v>16</v>
      </c>
    </row>
    <row r="3" spans="1:18" x14ac:dyDescent="0.35">
      <c r="A3" t="s">
        <v>10</v>
      </c>
      <c r="B3">
        <v>218904</v>
      </c>
      <c r="C3">
        <v>219746</v>
      </c>
      <c r="D3" t="s">
        <v>45</v>
      </c>
      <c r="E3">
        <v>4764.7902021033333</v>
      </c>
      <c r="F3" t="s">
        <v>11</v>
      </c>
      <c r="G3">
        <v>218904</v>
      </c>
      <c r="H3">
        <v>219746</v>
      </c>
      <c r="I3" s="3" t="s">
        <v>67</v>
      </c>
      <c r="J3" s="3" t="s">
        <v>68</v>
      </c>
      <c r="K3">
        <v>842</v>
      </c>
      <c r="L3" s="3" t="s">
        <v>69</v>
      </c>
      <c r="M3" t="s">
        <v>16</v>
      </c>
    </row>
    <row r="4" spans="1:18" x14ac:dyDescent="0.35">
      <c r="A4" t="s">
        <v>10</v>
      </c>
      <c r="B4">
        <v>82937</v>
      </c>
      <c r="C4">
        <v>83321</v>
      </c>
      <c r="D4" t="s">
        <v>26</v>
      </c>
      <c r="E4">
        <v>5539.4652130566656</v>
      </c>
      <c r="F4" t="s">
        <v>11</v>
      </c>
      <c r="G4">
        <v>82937</v>
      </c>
      <c r="H4">
        <v>83321</v>
      </c>
      <c r="I4" s="3" t="s">
        <v>67</v>
      </c>
      <c r="J4" s="3" t="s">
        <v>68</v>
      </c>
      <c r="K4">
        <v>384</v>
      </c>
      <c r="L4" s="3" t="s">
        <v>69</v>
      </c>
      <c r="M4" t="s">
        <v>16</v>
      </c>
    </row>
    <row r="5" spans="1:18" x14ac:dyDescent="0.35">
      <c r="A5" t="s">
        <v>10</v>
      </c>
      <c r="B5">
        <v>207580</v>
      </c>
      <c r="C5">
        <v>215562</v>
      </c>
      <c r="D5" t="s">
        <v>44</v>
      </c>
      <c r="E5">
        <v>5803.8375735533336</v>
      </c>
      <c r="F5" t="s">
        <v>11</v>
      </c>
      <c r="G5">
        <v>207580</v>
      </c>
      <c r="H5">
        <v>215562</v>
      </c>
      <c r="I5" s="3" t="s">
        <v>67</v>
      </c>
      <c r="J5" s="3" t="s">
        <v>68</v>
      </c>
      <c r="K5">
        <v>7982</v>
      </c>
      <c r="L5" s="3" t="s">
        <v>69</v>
      </c>
      <c r="M5" t="s">
        <v>16</v>
      </c>
    </row>
    <row r="6" spans="1:18" x14ac:dyDescent="0.35">
      <c r="A6" t="s">
        <v>10</v>
      </c>
      <c r="B6">
        <v>288044</v>
      </c>
      <c r="C6">
        <v>288400</v>
      </c>
      <c r="D6" t="s">
        <v>55</v>
      </c>
      <c r="E6">
        <v>6601.1709407166663</v>
      </c>
      <c r="F6" t="s">
        <v>13</v>
      </c>
      <c r="G6">
        <v>288044</v>
      </c>
      <c r="H6">
        <v>288400</v>
      </c>
      <c r="I6" s="3" t="s">
        <v>67</v>
      </c>
      <c r="J6" s="3" t="s">
        <v>68</v>
      </c>
      <c r="K6">
        <v>356</v>
      </c>
      <c r="L6" s="3" t="s">
        <v>69</v>
      </c>
      <c r="M6" t="s">
        <v>16</v>
      </c>
    </row>
    <row r="7" spans="1:18" x14ac:dyDescent="0.35">
      <c r="A7" t="s">
        <v>10</v>
      </c>
      <c r="B7">
        <v>126289</v>
      </c>
      <c r="C7">
        <v>128223</v>
      </c>
      <c r="D7" t="s">
        <v>33</v>
      </c>
      <c r="E7">
        <v>7362.7743962499999</v>
      </c>
      <c r="F7" t="s">
        <v>11</v>
      </c>
      <c r="G7">
        <v>126289</v>
      </c>
      <c r="H7">
        <v>128223</v>
      </c>
      <c r="I7" s="3" t="s">
        <v>67</v>
      </c>
      <c r="J7" s="3" t="s">
        <v>68</v>
      </c>
      <c r="K7">
        <v>1934</v>
      </c>
      <c r="L7" s="3" t="s">
        <v>69</v>
      </c>
      <c r="M7" t="s">
        <v>293</v>
      </c>
    </row>
    <row r="8" spans="1:18" x14ac:dyDescent="0.35">
      <c r="A8" t="s">
        <v>10</v>
      </c>
      <c r="B8">
        <v>234352</v>
      </c>
      <c r="C8">
        <v>236628</v>
      </c>
      <c r="D8" t="s">
        <v>71</v>
      </c>
      <c r="E8">
        <v>7510.9467539966672</v>
      </c>
      <c r="F8" t="s">
        <v>13</v>
      </c>
      <c r="G8">
        <v>234352</v>
      </c>
      <c r="H8">
        <v>236628</v>
      </c>
      <c r="I8" s="3" t="s">
        <v>67</v>
      </c>
      <c r="J8" s="3" t="s">
        <v>68</v>
      </c>
      <c r="K8">
        <v>2276</v>
      </c>
      <c r="L8" s="3" t="s">
        <v>69</v>
      </c>
      <c r="M8" t="s">
        <v>16</v>
      </c>
    </row>
    <row r="9" spans="1:18" x14ac:dyDescent="0.35">
      <c r="A9" t="s">
        <v>10</v>
      </c>
      <c r="B9">
        <v>288446</v>
      </c>
      <c r="C9">
        <v>288823</v>
      </c>
      <c r="D9" t="s">
        <v>56</v>
      </c>
      <c r="E9">
        <v>8041.9517778899999</v>
      </c>
      <c r="F9" t="s">
        <v>13</v>
      </c>
      <c r="G9">
        <v>288446</v>
      </c>
      <c r="H9">
        <v>288823</v>
      </c>
      <c r="I9" s="3" t="s">
        <v>67</v>
      </c>
      <c r="J9" s="3" t="s">
        <v>68</v>
      </c>
      <c r="K9">
        <v>377</v>
      </c>
      <c r="L9" s="3" t="s">
        <v>69</v>
      </c>
      <c r="M9" t="s">
        <v>16</v>
      </c>
    </row>
    <row r="10" spans="1:18" x14ac:dyDescent="0.35">
      <c r="A10" t="s">
        <v>10</v>
      </c>
      <c r="B10">
        <v>184762</v>
      </c>
      <c r="C10">
        <v>185319</v>
      </c>
      <c r="D10" t="s">
        <v>41</v>
      </c>
      <c r="E10">
        <v>9304.1603416966664</v>
      </c>
      <c r="F10" t="s">
        <v>11</v>
      </c>
      <c r="G10">
        <v>184762</v>
      </c>
      <c r="H10">
        <v>185319</v>
      </c>
      <c r="I10" s="3" t="s">
        <v>67</v>
      </c>
      <c r="J10" s="3" t="s">
        <v>68</v>
      </c>
      <c r="K10">
        <v>557</v>
      </c>
      <c r="L10" s="3" t="s">
        <v>69</v>
      </c>
      <c r="M10" t="s">
        <v>16</v>
      </c>
    </row>
    <row r="11" spans="1:18" x14ac:dyDescent="0.35">
      <c r="A11" t="s">
        <v>10</v>
      </c>
      <c r="B11">
        <v>23285</v>
      </c>
      <c r="C11">
        <v>23824</v>
      </c>
      <c r="D11" t="s">
        <v>20</v>
      </c>
      <c r="E11">
        <v>11505.745437600001</v>
      </c>
      <c r="F11" t="s">
        <v>13</v>
      </c>
      <c r="G11">
        <v>23285</v>
      </c>
      <c r="H11">
        <v>23824</v>
      </c>
      <c r="I11" s="3" t="s">
        <v>67</v>
      </c>
      <c r="J11" s="3" t="s">
        <v>68</v>
      </c>
      <c r="K11">
        <v>539</v>
      </c>
      <c r="L11" s="3" t="s">
        <v>69</v>
      </c>
      <c r="M11" t="s">
        <v>16</v>
      </c>
    </row>
    <row r="12" spans="1:18" x14ac:dyDescent="0.35">
      <c r="A12" t="s">
        <v>10</v>
      </c>
      <c r="B12">
        <v>6264</v>
      </c>
      <c r="C12">
        <v>8389</v>
      </c>
      <c r="D12" t="s">
        <v>15</v>
      </c>
      <c r="E12">
        <v>12476.0007212</v>
      </c>
      <c r="F12" t="s">
        <v>13</v>
      </c>
      <c r="G12">
        <v>6264</v>
      </c>
      <c r="H12">
        <v>8389</v>
      </c>
      <c r="I12" s="3" t="s">
        <v>67</v>
      </c>
      <c r="J12" s="3" t="s">
        <v>68</v>
      </c>
      <c r="K12">
        <v>2125</v>
      </c>
      <c r="L12" s="3" t="s">
        <v>69</v>
      </c>
      <c r="M12" t="s">
        <v>16</v>
      </c>
    </row>
    <row r="13" spans="1:18" x14ac:dyDescent="0.35">
      <c r="A13" t="s">
        <v>10</v>
      </c>
      <c r="B13">
        <v>26817</v>
      </c>
      <c r="C13">
        <v>28336</v>
      </c>
      <c r="D13" t="s">
        <v>22</v>
      </c>
      <c r="E13">
        <v>15801.701747733334</v>
      </c>
      <c r="F13" t="s">
        <v>13</v>
      </c>
      <c r="G13">
        <v>26817</v>
      </c>
      <c r="H13">
        <v>28336</v>
      </c>
      <c r="I13" s="3" t="s">
        <v>67</v>
      </c>
      <c r="J13" s="3" t="s">
        <v>68</v>
      </c>
      <c r="K13">
        <v>1519</v>
      </c>
      <c r="L13" s="3" t="s">
        <v>69</v>
      </c>
      <c r="M13" t="s">
        <v>16</v>
      </c>
    </row>
    <row r="14" spans="1:18" x14ac:dyDescent="0.35">
      <c r="A14" t="s">
        <v>10</v>
      </c>
      <c r="B14">
        <v>362206</v>
      </c>
      <c r="C14">
        <v>362784</v>
      </c>
      <c r="D14" t="s">
        <v>66</v>
      </c>
      <c r="E14">
        <v>17302.8285039</v>
      </c>
      <c r="F14" t="s">
        <v>13</v>
      </c>
      <c r="G14">
        <v>362206</v>
      </c>
      <c r="H14">
        <v>362784</v>
      </c>
      <c r="I14" s="3" t="s">
        <v>67</v>
      </c>
      <c r="J14" s="3" t="s">
        <v>68</v>
      </c>
      <c r="K14">
        <v>578</v>
      </c>
      <c r="L14" s="3" t="s">
        <v>69</v>
      </c>
      <c r="M14" t="s">
        <v>16</v>
      </c>
    </row>
    <row r="15" spans="1:18" x14ac:dyDescent="0.35">
      <c r="A15" t="s">
        <v>10</v>
      </c>
      <c r="B15">
        <v>264467</v>
      </c>
      <c r="C15">
        <v>265516</v>
      </c>
      <c r="D15" t="s">
        <v>52</v>
      </c>
      <c r="E15">
        <v>17850.663516266664</v>
      </c>
      <c r="F15" t="s">
        <v>11</v>
      </c>
      <c r="G15">
        <v>264467</v>
      </c>
      <c r="H15">
        <v>265516</v>
      </c>
      <c r="I15" s="3" t="s">
        <v>67</v>
      </c>
      <c r="J15" s="3" t="s">
        <v>68</v>
      </c>
      <c r="K15">
        <v>1049</v>
      </c>
      <c r="L15" s="3" t="s">
        <v>69</v>
      </c>
      <c r="M15" t="s">
        <v>16</v>
      </c>
    </row>
    <row r="16" spans="1:18" x14ac:dyDescent="0.35">
      <c r="A16" t="s">
        <v>10</v>
      </c>
      <c r="B16">
        <v>140797</v>
      </c>
      <c r="C16">
        <v>143965</v>
      </c>
      <c r="D16" t="s">
        <v>34</v>
      </c>
      <c r="E16">
        <v>19827.803622000003</v>
      </c>
      <c r="F16" t="s">
        <v>11</v>
      </c>
      <c r="G16">
        <v>140797</v>
      </c>
      <c r="H16">
        <v>143965</v>
      </c>
      <c r="I16" s="3" t="s">
        <v>67</v>
      </c>
      <c r="J16" s="3" t="s">
        <v>68</v>
      </c>
      <c r="K16">
        <v>3168</v>
      </c>
      <c r="L16" s="3" t="s">
        <v>69</v>
      </c>
      <c r="M16" t="s">
        <v>293</v>
      </c>
    </row>
    <row r="17" spans="1:13" x14ac:dyDescent="0.35">
      <c r="A17" t="s">
        <v>10</v>
      </c>
      <c r="B17">
        <v>49423</v>
      </c>
      <c r="C17">
        <v>50580</v>
      </c>
      <c r="D17" t="s">
        <v>23</v>
      </c>
      <c r="E17">
        <v>20041.132934466663</v>
      </c>
      <c r="F17" t="s">
        <v>13</v>
      </c>
      <c r="G17">
        <v>49423</v>
      </c>
      <c r="H17">
        <v>50580</v>
      </c>
      <c r="I17" s="3" t="s">
        <v>67</v>
      </c>
      <c r="J17" s="3" t="s">
        <v>68</v>
      </c>
      <c r="K17">
        <v>1157</v>
      </c>
      <c r="L17" s="3" t="s">
        <v>69</v>
      </c>
      <c r="M17" t="s">
        <v>16</v>
      </c>
    </row>
    <row r="18" spans="1:13" x14ac:dyDescent="0.35">
      <c r="A18" t="s">
        <v>10</v>
      </c>
      <c r="B18">
        <v>24665</v>
      </c>
      <c r="C18">
        <v>25237</v>
      </c>
      <c r="D18" t="s">
        <v>21</v>
      </c>
      <c r="E18">
        <v>20279.933067366666</v>
      </c>
      <c r="F18" t="s">
        <v>13</v>
      </c>
      <c r="G18">
        <v>24665</v>
      </c>
      <c r="H18">
        <v>25237</v>
      </c>
      <c r="I18" s="3" t="s">
        <v>67</v>
      </c>
      <c r="J18" s="3" t="s">
        <v>68</v>
      </c>
      <c r="K18">
        <v>572</v>
      </c>
      <c r="L18" s="3" t="s">
        <v>69</v>
      </c>
      <c r="M18" t="s">
        <v>16</v>
      </c>
    </row>
    <row r="19" spans="1:13" x14ac:dyDescent="0.35">
      <c r="A19" t="s">
        <v>10</v>
      </c>
      <c r="B19">
        <v>181677</v>
      </c>
      <c r="C19">
        <v>182858</v>
      </c>
      <c r="D19" t="s">
        <v>40</v>
      </c>
      <c r="E19">
        <v>22387.532457266669</v>
      </c>
      <c r="F19" t="s">
        <v>11</v>
      </c>
      <c r="G19">
        <v>181677</v>
      </c>
      <c r="H19">
        <v>182858</v>
      </c>
      <c r="I19" s="3" t="s">
        <v>67</v>
      </c>
      <c r="J19" s="3" t="s">
        <v>68</v>
      </c>
      <c r="K19">
        <v>1181</v>
      </c>
      <c r="L19" s="3" t="s">
        <v>69</v>
      </c>
      <c r="M19" t="s">
        <v>16</v>
      </c>
    </row>
    <row r="20" spans="1:13" x14ac:dyDescent="0.35">
      <c r="A20" t="s">
        <v>10</v>
      </c>
      <c r="B20">
        <v>165838</v>
      </c>
      <c r="C20">
        <v>166455</v>
      </c>
      <c r="D20" t="s">
        <v>37</v>
      </c>
      <c r="E20">
        <v>24757.5417361</v>
      </c>
      <c r="F20" t="s">
        <v>13</v>
      </c>
      <c r="G20">
        <v>165838</v>
      </c>
      <c r="H20">
        <v>166455</v>
      </c>
      <c r="I20" s="3" t="s">
        <v>67</v>
      </c>
      <c r="J20" s="3" t="s">
        <v>68</v>
      </c>
      <c r="K20">
        <v>617</v>
      </c>
      <c r="L20" s="3" t="s">
        <v>69</v>
      </c>
      <c r="M20" t="s">
        <v>16</v>
      </c>
    </row>
    <row r="21" spans="1:13" x14ac:dyDescent="0.35">
      <c r="A21" t="s">
        <v>10</v>
      </c>
      <c r="B21">
        <v>329976</v>
      </c>
      <c r="C21">
        <v>330773</v>
      </c>
      <c r="D21" t="s">
        <v>63</v>
      </c>
      <c r="E21">
        <v>25334.952533400003</v>
      </c>
      <c r="F21" t="s">
        <v>11</v>
      </c>
      <c r="G21">
        <v>329976</v>
      </c>
      <c r="H21">
        <v>330773</v>
      </c>
      <c r="I21" s="3" t="s">
        <v>67</v>
      </c>
      <c r="J21" s="3" t="s">
        <v>68</v>
      </c>
      <c r="K21">
        <v>797</v>
      </c>
      <c r="L21" s="3" t="s">
        <v>69</v>
      </c>
      <c r="M21" t="s">
        <v>16</v>
      </c>
    </row>
    <row r="22" spans="1:13" x14ac:dyDescent="0.35">
      <c r="A22" t="s">
        <v>10</v>
      </c>
      <c r="B22">
        <v>361637</v>
      </c>
      <c r="C22">
        <v>361939</v>
      </c>
      <c r="D22" t="s">
        <v>65</v>
      </c>
      <c r="E22">
        <v>26370.63568143333</v>
      </c>
      <c r="F22" t="s">
        <v>13</v>
      </c>
      <c r="G22">
        <v>361637</v>
      </c>
      <c r="H22">
        <v>361939</v>
      </c>
      <c r="I22" s="3" t="s">
        <v>67</v>
      </c>
      <c r="J22" s="3" t="s">
        <v>68</v>
      </c>
      <c r="K22">
        <v>302</v>
      </c>
      <c r="L22" s="3" t="s">
        <v>69</v>
      </c>
      <c r="M22" t="s">
        <v>16</v>
      </c>
    </row>
    <row r="23" spans="1:13" x14ac:dyDescent="0.35">
      <c r="A23" t="s">
        <v>10</v>
      </c>
      <c r="B23">
        <v>114762</v>
      </c>
      <c r="C23">
        <v>116345</v>
      </c>
      <c r="D23" t="s">
        <v>30</v>
      </c>
      <c r="E23">
        <v>32588.239496666665</v>
      </c>
      <c r="F23" t="s">
        <v>11</v>
      </c>
      <c r="G23">
        <v>114762</v>
      </c>
      <c r="H23">
        <v>116345</v>
      </c>
      <c r="I23" s="3" t="s">
        <v>67</v>
      </c>
      <c r="J23" s="3" t="s">
        <v>68</v>
      </c>
      <c r="K23">
        <v>1583</v>
      </c>
      <c r="L23" s="3" t="s">
        <v>69</v>
      </c>
      <c r="M23" t="s">
        <v>16</v>
      </c>
    </row>
    <row r="24" spans="1:13" x14ac:dyDescent="0.35">
      <c r="A24" t="s">
        <v>10</v>
      </c>
      <c r="B24">
        <v>247016</v>
      </c>
      <c r="C24">
        <v>247492</v>
      </c>
      <c r="D24" t="s">
        <v>49</v>
      </c>
      <c r="E24">
        <v>42831.4825298</v>
      </c>
      <c r="F24" t="s">
        <v>11</v>
      </c>
      <c r="G24">
        <v>247016</v>
      </c>
      <c r="H24">
        <v>247492</v>
      </c>
      <c r="I24" s="3" t="s">
        <v>67</v>
      </c>
      <c r="J24" s="3" t="s">
        <v>68</v>
      </c>
      <c r="K24">
        <v>476</v>
      </c>
      <c r="L24" s="3" t="s">
        <v>69</v>
      </c>
      <c r="M24" t="s">
        <v>16</v>
      </c>
    </row>
    <row r="25" spans="1:13" x14ac:dyDescent="0.35">
      <c r="A25" t="s">
        <v>10</v>
      </c>
      <c r="B25">
        <v>67098</v>
      </c>
      <c r="C25">
        <v>68621</v>
      </c>
      <c r="D25" t="s">
        <v>24</v>
      </c>
      <c r="E25">
        <v>52994.103724299996</v>
      </c>
      <c r="F25" t="s">
        <v>11</v>
      </c>
      <c r="G25">
        <v>67098</v>
      </c>
      <c r="H25">
        <v>68621</v>
      </c>
      <c r="I25" s="3" t="s">
        <v>67</v>
      </c>
      <c r="J25" s="3" t="s">
        <v>68</v>
      </c>
      <c r="K25">
        <v>1523</v>
      </c>
      <c r="L25" s="3" t="s">
        <v>69</v>
      </c>
      <c r="M25" t="s">
        <v>16</v>
      </c>
    </row>
    <row r="26" spans="1:13" x14ac:dyDescent="0.35">
      <c r="A26" t="s">
        <v>10</v>
      </c>
      <c r="B26">
        <v>270961</v>
      </c>
      <c r="C26">
        <v>271185</v>
      </c>
      <c r="D26" t="s">
        <v>53</v>
      </c>
      <c r="E26">
        <v>193298.23169566665</v>
      </c>
      <c r="F26" t="s">
        <v>11</v>
      </c>
      <c r="G26">
        <v>270961</v>
      </c>
      <c r="H26">
        <v>271185</v>
      </c>
      <c r="I26" s="3" t="s">
        <v>67</v>
      </c>
      <c r="J26" s="3" t="s">
        <v>68</v>
      </c>
      <c r="K26">
        <v>224</v>
      </c>
      <c r="L26" s="3" t="s">
        <v>69</v>
      </c>
      <c r="M26" t="s">
        <v>16</v>
      </c>
    </row>
  </sheetData>
  <sortState xmlns:xlrd2="http://schemas.microsoft.com/office/spreadsheetml/2017/richdata2" ref="A2:M62">
    <sortCondition ref="E1:E6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5DBC-DB78-4AF6-8274-885550B6216B}">
  <dimension ref="A1:S208"/>
  <sheetViews>
    <sheetView workbookViewId="0">
      <selection activeCell="E15" sqref="E15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2" t="s">
        <v>6</v>
      </c>
      <c r="J1" s="2" t="s">
        <v>8</v>
      </c>
      <c r="K1" s="1" t="s">
        <v>7</v>
      </c>
      <c r="L1" s="2" t="s">
        <v>9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14</v>
      </c>
    </row>
    <row r="2" spans="1:19" x14ac:dyDescent="0.35">
      <c r="A2" t="s">
        <v>10</v>
      </c>
      <c r="B2">
        <v>348897</v>
      </c>
      <c r="C2">
        <v>348919</v>
      </c>
      <c r="D2" t="s">
        <v>283</v>
      </c>
      <c r="E2">
        <v>11.1932885042</v>
      </c>
      <c r="F2" t="s">
        <v>11</v>
      </c>
      <c r="G2">
        <v>348897</v>
      </c>
      <c r="H2">
        <v>348919</v>
      </c>
      <c r="I2" s="3" t="s">
        <v>67</v>
      </c>
      <c r="J2" s="3" t="s">
        <v>68</v>
      </c>
      <c r="K2">
        <v>22</v>
      </c>
      <c r="L2" s="3" t="s">
        <v>69</v>
      </c>
      <c r="M2">
        <v>0</v>
      </c>
      <c r="N2">
        <v>0</v>
      </c>
      <c r="O2">
        <v>33.579865512600001</v>
      </c>
      <c r="P2" s="4">
        <f t="shared" ref="P2:P65" si="0">AVERAGE(M2:O2)</f>
        <v>11.1932885042</v>
      </c>
      <c r="Q2" s="4">
        <f t="shared" ref="Q2:Q65" si="1">_xlfn.STDEV.P(M2:O2)</f>
        <v>15.829700410194496</v>
      </c>
      <c r="R2" s="4">
        <f t="shared" ref="R2:R65" si="2">Q2/P2</f>
        <v>1.4142135623730951</v>
      </c>
      <c r="S2" t="s">
        <v>12</v>
      </c>
    </row>
    <row r="3" spans="1:19" x14ac:dyDescent="0.35">
      <c r="A3" t="s">
        <v>10</v>
      </c>
      <c r="B3">
        <v>144140</v>
      </c>
      <c r="C3">
        <v>144171</v>
      </c>
      <c r="D3" t="s">
        <v>171</v>
      </c>
      <c r="E3">
        <v>15.575595858733331</v>
      </c>
      <c r="F3" t="s">
        <v>11</v>
      </c>
      <c r="G3">
        <v>144140</v>
      </c>
      <c r="H3">
        <v>144171</v>
      </c>
      <c r="I3" s="3" t="s">
        <v>67</v>
      </c>
      <c r="J3" s="3" t="s">
        <v>68</v>
      </c>
      <c r="K3">
        <v>31</v>
      </c>
      <c r="L3" s="3" t="s">
        <v>69</v>
      </c>
      <c r="M3">
        <v>22.966636229700001</v>
      </c>
      <c r="N3">
        <v>23.760151346499999</v>
      </c>
      <c r="O3">
        <v>0</v>
      </c>
      <c r="P3" s="4">
        <f t="shared" si="0"/>
        <v>15.575595858733331</v>
      </c>
      <c r="Q3" s="4">
        <f t="shared" si="1"/>
        <v>11.0183727269832</v>
      </c>
      <c r="R3" s="4">
        <f t="shared" si="2"/>
        <v>0.70741259768916842</v>
      </c>
      <c r="S3" t="s">
        <v>12</v>
      </c>
    </row>
    <row r="4" spans="1:19" x14ac:dyDescent="0.35">
      <c r="A4" t="s">
        <v>10</v>
      </c>
      <c r="B4">
        <v>26375</v>
      </c>
      <c r="C4">
        <v>26390</v>
      </c>
      <c r="D4" t="s">
        <v>98</v>
      </c>
      <c r="E4">
        <v>15.821460513833335</v>
      </c>
      <c r="F4" t="s">
        <v>11</v>
      </c>
      <c r="G4">
        <v>26375</v>
      </c>
      <c r="H4">
        <v>26390</v>
      </c>
      <c r="I4" s="3" t="s">
        <v>67</v>
      </c>
      <c r="J4" s="3" t="s">
        <v>68</v>
      </c>
      <c r="K4">
        <v>15</v>
      </c>
      <c r="L4" s="3" t="s">
        <v>69</v>
      </c>
      <c r="M4">
        <v>47.464381541500003</v>
      </c>
      <c r="N4">
        <v>0</v>
      </c>
      <c r="O4">
        <v>0</v>
      </c>
      <c r="P4" s="4">
        <f t="shared" si="0"/>
        <v>15.821460513833335</v>
      </c>
      <c r="Q4" s="4">
        <f t="shared" si="1"/>
        <v>22.3749240352135</v>
      </c>
      <c r="R4" s="4">
        <f t="shared" si="2"/>
        <v>1.4142135623730951</v>
      </c>
      <c r="S4" t="s">
        <v>12</v>
      </c>
    </row>
    <row r="5" spans="1:19" x14ac:dyDescent="0.35">
      <c r="A5" t="s">
        <v>10</v>
      </c>
      <c r="B5">
        <v>10376</v>
      </c>
      <c r="C5">
        <v>10390</v>
      </c>
      <c r="D5" t="s">
        <v>92</v>
      </c>
      <c r="E5">
        <v>17.589453363766669</v>
      </c>
      <c r="F5" t="s">
        <v>13</v>
      </c>
      <c r="G5">
        <v>10376</v>
      </c>
      <c r="H5">
        <v>10390</v>
      </c>
      <c r="I5" s="3" t="s">
        <v>67</v>
      </c>
      <c r="J5" s="3" t="s">
        <v>68</v>
      </c>
      <c r="K5">
        <v>14</v>
      </c>
      <c r="L5" s="3" t="s">
        <v>69</v>
      </c>
      <c r="M5">
        <v>0</v>
      </c>
      <c r="N5">
        <v>0</v>
      </c>
      <c r="O5">
        <v>52.768360091300003</v>
      </c>
      <c r="P5" s="4">
        <f t="shared" si="0"/>
        <v>17.589453363766669</v>
      </c>
      <c r="Q5" s="4">
        <f t="shared" si="1"/>
        <v>24.87524350176788</v>
      </c>
      <c r="R5" s="4">
        <f t="shared" si="2"/>
        <v>1.4142135623730949</v>
      </c>
      <c r="S5" t="s">
        <v>12</v>
      </c>
    </row>
    <row r="6" spans="1:19" x14ac:dyDescent="0.35">
      <c r="A6" t="s">
        <v>10</v>
      </c>
      <c r="B6">
        <v>1879</v>
      </c>
      <c r="C6">
        <v>1903</v>
      </c>
      <c r="D6" t="s">
        <v>87</v>
      </c>
      <c r="E6">
        <v>20.460130326133335</v>
      </c>
      <c r="F6" t="s">
        <v>11</v>
      </c>
      <c r="G6">
        <v>1879</v>
      </c>
      <c r="H6">
        <v>1903</v>
      </c>
      <c r="I6" s="3" t="s">
        <v>67</v>
      </c>
      <c r="J6" s="3" t="s">
        <v>68</v>
      </c>
      <c r="K6">
        <v>24</v>
      </c>
      <c r="L6" s="3" t="s">
        <v>69</v>
      </c>
      <c r="M6">
        <v>0</v>
      </c>
      <c r="N6">
        <v>61.380390978400001</v>
      </c>
      <c r="O6">
        <v>0</v>
      </c>
      <c r="P6" s="4">
        <f t="shared" si="0"/>
        <v>20.460130326133335</v>
      </c>
      <c r="Q6" s="4">
        <f t="shared" si="1"/>
        <v>28.934993795138816</v>
      </c>
      <c r="R6" s="4">
        <f t="shared" si="2"/>
        <v>1.4142135623730949</v>
      </c>
      <c r="S6" t="s">
        <v>12</v>
      </c>
    </row>
    <row r="7" spans="1:19" x14ac:dyDescent="0.35">
      <c r="A7" t="s">
        <v>10</v>
      </c>
      <c r="B7">
        <v>311897</v>
      </c>
      <c r="C7">
        <v>311920</v>
      </c>
      <c r="D7" t="s">
        <v>254</v>
      </c>
      <c r="E7">
        <v>20.9931944183</v>
      </c>
      <c r="F7" t="s">
        <v>13</v>
      </c>
      <c r="G7">
        <v>311897</v>
      </c>
      <c r="H7">
        <v>311920</v>
      </c>
      <c r="I7" s="3" t="s">
        <v>67</v>
      </c>
      <c r="J7" s="3" t="s">
        <v>68</v>
      </c>
      <c r="K7">
        <v>23</v>
      </c>
      <c r="L7" s="3" t="s">
        <v>69</v>
      </c>
      <c r="M7">
        <v>30.955031440100001</v>
      </c>
      <c r="N7">
        <v>32.024551814799999</v>
      </c>
      <c r="O7">
        <v>0</v>
      </c>
      <c r="P7" s="4">
        <f t="shared" si="0"/>
        <v>20.9931944183</v>
      </c>
      <c r="Q7" s="4">
        <f t="shared" si="1"/>
        <v>14.850850197241932</v>
      </c>
      <c r="R7" s="4">
        <f t="shared" si="2"/>
        <v>0.7074125976891007</v>
      </c>
      <c r="S7" t="s">
        <v>12</v>
      </c>
    </row>
    <row r="8" spans="1:19" x14ac:dyDescent="0.35">
      <c r="A8" t="s">
        <v>10</v>
      </c>
      <c r="B8">
        <v>334903</v>
      </c>
      <c r="C8">
        <v>334926</v>
      </c>
      <c r="D8" t="s">
        <v>276</v>
      </c>
      <c r="E8">
        <v>21.349701209866666</v>
      </c>
      <c r="F8" t="s">
        <v>13</v>
      </c>
      <c r="G8">
        <v>334903</v>
      </c>
      <c r="H8">
        <v>334926</v>
      </c>
      <c r="I8" s="3" t="s">
        <v>67</v>
      </c>
      <c r="J8" s="3" t="s">
        <v>68</v>
      </c>
      <c r="K8">
        <v>23</v>
      </c>
      <c r="L8" s="3" t="s">
        <v>69</v>
      </c>
      <c r="M8">
        <v>0</v>
      </c>
      <c r="N8">
        <v>64.049103629599998</v>
      </c>
      <c r="O8">
        <v>0</v>
      </c>
      <c r="P8" s="4">
        <f t="shared" si="0"/>
        <v>21.349701209866666</v>
      </c>
      <c r="Q8" s="4">
        <f t="shared" si="1"/>
        <v>30.193037003606712</v>
      </c>
      <c r="R8" s="4">
        <f t="shared" si="2"/>
        <v>1.4142135623730949</v>
      </c>
      <c r="S8" t="s">
        <v>12</v>
      </c>
    </row>
    <row r="9" spans="1:19" x14ac:dyDescent="0.35">
      <c r="A9" t="s">
        <v>10</v>
      </c>
      <c r="B9">
        <v>171700</v>
      </c>
      <c r="C9">
        <v>171740</v>
      </c>
      <c r="D9" t="s">
        <v>176</v>
      </c>
      <c r="E9">
        <v>24.142173581033333</v>
      </c>
      <c r="F9" t="s">
        <v>11</v>
      </c>
      <c r="G9">
        <v>171700</v>
      </c>
      <c r="H9">
        <v>171740</v>
      </c>
      <c r="I9" s="3" t="s">
        <v>67</v>
      </c>
      <c r="J9" s="3" t="s">
        <v>68</v>
      </c>
      <c r="K9">
        <v>40</v>
      </c>
      <c r="L9" s="3" t="s">
        <v>69</v>
      </c>
      <c r="M9">
        <v>35.598286156100002</v>
      </c>
      <c r="N9">
        <v>36.828234586999997</v>
      </c>
      <c r="O9">
        <v>0</v>
      </c>
      <c r="P9" s="4">
        <f t="shared" si="0"/>
        <v>24.142173581033333</v>
      </c>
      <c r="Q9" s="4">
        <f t="shared" si="1"/>
        <v>17.078477726819919</v>
      </c>
      <c r="R9" s="4">
        <f t="shared" si="2"/>
        <v>0.7074125976890987</v>
      </c>
      <c r="S9" t="s">
        <v>12</v>
      </c>
    </row>
    <row r="10" spans="1:19" x14ac:dyDescent="0.35">
      <c r="A10" t="s">
        <v>10</v>
      </c>
      <c r="B10">
        <v>260581</v>
      </c>
      <c r="C10">
        <v>260604</v>
      </c>
      <c r="D10" t="s">
        <v>218</v>
      </c>
      <c r="E10">
        <v>31.668045023233333</v>
      </c>
      <c r="F10" t="s">
        <v>11</v>
      </c>
      <c r="G10">
        <v>260581</v>
      </c>
      <c r="H10">
        <v>260604</v>
      </c>
      <c r="I10" s="3" t="s">
        <v>67</v>
      </c>
      <c r="J10" s="3" t="s">
        <v>68</v>
      </c>
      <c r="K10">
        <v>23</v>
      </c>
      <c r="L10" s="3" t="s">
        <v>69</v>
      </c>
      <c r="M10">
        <v>30.955031440100001</v>
      </c>
      <c r="N10">
        <v>64.049103629599998</v>
      </c>
      <c r="O10">
        <v>0</v>
      </c>
      <c r="P10" s="4">
        <f t="shared" si="0"/>
        <v>31.668045023233333</v>
      </c>
      <c r="Q10" s="4">
        <f t="shared" si="1"/>
        <v>26.152797303744382</v>
      </c>
      <c r="R10" s="4">
        <f t="shared" si="2"/>
        <v>0.82584186313229391</v>
      </c>
      <c r="S10" t="s">
        <v>12</v>
      </c>
    </row>
    <row r="11" spans="1:19" x14ac:dyDescent="0.35">
      <c r="A11" t="s">
        <v>10</v>
      </c>
      <c r="B11">
        <v>76574</v>
      </c>
      <c r="C11">
        <v>76597</v>
      </c>
      <c r="D11" t="s">
        <v>133</v>
      </c>
      <c r="E11">
        <v>42.018162018299996</v>
      </c>
      <c r="F11" t="s">
        <v>11</v>
      </c>
      <c r="G11">
        <v>76574</v>
      </c>
      <c r="H11">
        <v>76597</v>
      </c>
      <c r="I11" s="3" t="s">
        <v>67</v>
      </c>
      <c r="J11" s="3" t="s">
        <v>68</v>
      </c>
      <c r="K11">
        <v>23</v>
      </c>
      <c r="L11" s="3" t="s">
        <v>69</v>
      </c>
      <c r="M11">
        <v>61.910062880200002</v>
      </c>
      <c r="N11">
        <v>32.024551814799999</v>
      </c>
      <c r="O11">
        <v>32.119871359900003</v>
      </c>
      <c r="P11" s="4">
        <f t="shared" si="0"/>
        <v>42.018162018299996</v>
      </c>
      <c r="Q11" s="4">
        <f t="shared" si="1"/>
        <v>14.065751819666165</v>
      </c>
      <c r="R11" s="4">
        <f t="shared" si="2"/>
        <v>0.33475409546805418</v>
      </c>
      <c r="S11" t="s">
        <v>12</v>
      </c>
    </row>
    <row r="12" spans="1:19" x14ac:dyDescent="0.35">
      <c r="A12" t="s">
        <v>10</v>
      </c>
      <c r="B12">
        <v>57261</v>
      </c>
      <c r="C12">
        <v>57284</v>
      </c>
      <c r="D12" t="s">
        <v>123</v>
      </c>
      <c r="E12">
        <v>42.0499352</v>
      </c>
      <c r="F12" t="s">
        <v>13</v>
      </c>
      <c r="G12">
        <v>57261</v>
      </c>
      <c r="H12">
        <v>57284</v>
      </c>
      <c r="I12" s="3" t="s">
        <v>67</v>
      </c>
      <c r="J12" s="3" t="s">
        <v>68</v>
      </c>
      <c r="K12">
        <v>23</v>
      </c>
      <c r="L12" s="3" t="s">
        <v>69</v>
      </c>
      <c r="M12">
        <v>61.910062880200002</v>
      </c>
      <c r="N12">
        <v>0</v>
      </c>
      <c r="O12">
        <v>64.239742719800006</v>
      </c>
      <c r="P12" s="4">
        <f t="shared" si="0"/>
        <v>42.0499352</v>
      </c>
      <c r="Q12" s="4">
        <f t="shared" si="1"/>
        <v>29.749001549429178</v>
      </c>
      <c r="R12" s="4">
        <f t="shared" si="2"/>
        <v>0.70746842790447817</v>
      </c>
      <c r="S12" t="s">
        <v>12</v>
      </c>
    </row>
    <row r="13" spans="1:19" x14ac:dyDescent="0.35">
      <c r="A13" t="s">
        <v>10</v>
      </c>
      <c r="B13">
        <v>86690</v>
      </c>
      <c r="C13">
        <v>86713</v>
      </c>
      <c r="D13" t="s">
        <v>146</v>
      </c>
      <c r="E13">
        <v>53.04951941480001</v>
      </c>
      <c r="F13" t="s">
        <v>11</v>
      </c>
      <c r="G13">
        <v>86690</v>
      </c>
      <c r="H13">
        <v>86713</v>
      </c>
      <c r="I13" s="3" t="s">
        <v>67</v>
      </c>
      <c r="J13" s="3" t="s">
        <v>68</v>
      </c>
      <c r="K13">
        <v>23</v>
      </c>
      <c r="L13" s="3" t="s">
        <v>69</v>
      </c>
      <c r="M13">
        <v>30.955031440100001</v>
      </c>
      <c r="N13">
        <v>96.073655444400003</v>
      </c>
      <c r="O13">
        <v>32.119871359900003</v>
      </c>
      <c r="P13" s="4">
        <f t="shared" si="0"/>
        <v>53.04951941480001</v>
      </c>
      <c r="Q13" s="4">
        <f t="shared" si="1"/>
        <v>30.426374784933245</v>
      </c>
      <c r="R13" s="4">
        <f t="shared" si="2"/>
        <v>0.57354666207296023</v>
      </c>
      <c r="S13" t="s">
        <v>12</v>
      </c>
    </row>
    <row r="14" spans="1:19" x14ac:dyDescent="0.35">
      <c r="A14" t="s">
        <v>10</v>
      </c>
      <c r="B14">
        <v>86560</v>
      </c>
      <c r="C14">
        <v>86583</v>
      </c>
      <c r="D14" t="s">
        <v>145</v>
      </c>
      <c r="E14">
        <v>53.081292596499999</v>
      </c>
      <c r="F14" t="s">
        <v>13</v>
      </c>
      <c r="G14">
        <v>86560</v>
      </c>
      <c r="H14">
        <v>86583</v>
      </c>
      <c r="I14" s="3" t="s">
        <v>67</v>
      </c>
      <c r="J14" s="3" t="s">
        <v>68</v>
      </c>
      <c r="K14">
        <v>23</v>
      </c>
      <c r="L14" s="3" t="s">
        <v>69</v>
      </c>
      <c r="M14">
        <v>30.955031440100001</v>
      </c>
      <c r="N14">
        <v>64.049103629599998</v>
      </c>
      <c r="O14">
        <v>64.239742719800006</v>
      </c>
      <c r="P14" s="4">
        <f t="shared" si="0"/>
        <v>53.081292596499999</v>
      </c>
      <c r="Q14" s="4">
        <f t="shared" si="1"/>
        <v>15.645822879959367</v>
      </c>
      <c r="R14" s="4">
        <f t="shared" si="2"/>
        <v>0.29475210784507155</v>
      </c>
      <c r="S14" t="s">
        <v>12</v>
      </c>
    </row>
    <row r="15" spans="1:19" x14ac:dyDescent="0.35">
      <c r="A15" t="s">
        <v>10</v>
      </c>
      <c r="B15">
        <v>226303</v>
      </c>
      <c r="C15">
        <v>226326</v>
      </c>
      <c r="D15" t="s">
        <v>197</v>
      </c>
      <c r="E15">
        <v>53.469572569766662</v>
      </c>
      <c r="F15" t="s">
        <v>11</v>
      </c>
      <c r="G15">
        <v>226303</v>
      </c>
      <c r="H15">
        <v>226326</v>
      </c>
      <c r="I15" s="3" t="s">
        <v>67</v>
      </c>
      <c r="J15" s="3" t="s">
        <v>68</v>
      </c>
      <c r="K15">
        <v>23</v>
      </c>
      <c r="L15" s="3" t="s">
        <v>69</v>
      </c>
      <c r="M15">
        <v>0</v>
      </c>
      <c r="N15">
        <v>64.049103629599998</v>
      </c>
      <c r="O15">
        <v>96.359614079699995</v>
      </c>
      <c r="P15" s="4">
        <f t="shared" si="0"/>
        <v>53.469572569766662</v>
      </c>
      <c r="Q15" s="4">
        <f t="shared" si="1"/>
        <v>40.043631740737183</v>
      </c>
      <c r="R15" s="4">
        <f t="shared" si="2"/>
        <v>0.74890502796686054</v>
      </c>
      <c r="S15" t="s">
        <v>12</v>
      </c>
    </row>
    <row r="16" spans="1:19" x14ac:dyDescent="0.35">
      <c r="A16" t="s">
        <v>10</v>
      </c>
      <c r="B16">
        <v>88071</v>
      </c>
      <c r="C16">
        <v>88108</v>
      </c>
      <c r="D16" t="s">
        <v>147</v>
      </c>
      <c r="E16">
        <v>59.3374895229</v>
      </c>
      <c r="F16" t="s">
        <v>13</v>
      </c>
      <c r="G16">
        <v>88071</v>
      </c>
      <c r="H16">
        <v>88108</v>
      </c>
      <c r="I16" s="3" t="s">
        <v>67</v>
      </c>
      <c r="J16" s="3" t="s">
        <v>68</v>
      </c>
      <c r="K16">
        <v>37</v>
      </c>
      <c r="L16" s="3" t="s">
        <v>69</v>
      </c>
      <c r="M16">
        <v>38.4846336823</v>
      </c>
      <c r="N16">
        <v>79.628615323299996</v>
      </c>
      <c r="O16">
        <v>59.899219563099997</v>
      </c>
      <c r="P16" s="4">
        <f t="shared" si="0"/>
        <v>59.3374895229</v>
      </c>
      <c r="Q16" s="4">
        <f t="shared" si="1"/>
        <v>16.801655906433414</v>
      </c>
      <c r="R16" s="4">
        <f t="shared" si="2"/>
        <v>0.28315414153052743</v>
      </c>
      <c r="S16" t="s">
        <v>12</v>
      </c>
    </row>
    <row r="17" spans="1:19" x14ac:dyDescent="0.35">
      <c r="A17" t="s">
        <v>10</v>
      </c>
      <c r="B17">
        <v>196076</v>
      </c>
      <c r="C17">
        <v>196100</v>
      </c>
      <c r="D17" t="s">
        <v>182</v>
      </c>
      <c r="E17">
        <v>60.727535593666659</v>
      </c>
      <c r="F17" t="s">
        <v>11</v>
      </c>
      <c r="G17">
        <v>196076</v>
      </c>
      <c r="H17">
        <v>196100</v>
      </c>
      <c r="I17" s="3" t="s">
        <v>67</v>
      </c>
      <c r="J17" s="3" t="s">
        <v>68</v>
      </c>
      <c r="K17">
        <v>24</v>
      </c>
      <c r="L17" s="3" t="s">
        <v>69</v>
      </c>
      <c r="M17">
        <v>59.330476926899998</v>
      </c>
      <c r="N17">
        <v>92.070586467499993</v>
      </c>
      <c r="O17">
        <v>30.781543386599999</v>
      </c>
      <c r="P17" s="4">
        <f t="shared" si="0"/>
        <v>60.727535593666659</v>
      </c>
      <c r="Q17" s="4">
        <f t="shared" si="1"/>
        <v>25.040640701759148</v>
      </c>
      <c r="R17" s="4">
        <f t="shared" si="2"/>
        <v>0.41234409493097668</v>
      </c>
      <c r="S17" t="s">
        <v>12</v>
      </c>
    </row>
    <row r="18" spans="1:19" x14ac:dyDescent="0.35">
      <c r="A18" t="s">
        <v>10</v>
      </c>
      <c r="B18">
        <v>272276</v>
      </c>
      <c r="C18">
        <v>272299</v>
      </c>
      <c r="D18" t="s">
        <v>228</v>
      </c>
      <c r="E18">
        <v>63.43140959156667</v>
      </c>
      <c r="F18" t="s">
        <v>13</v>
      </c>
      <c r="G18">
        <v>272276</v>
      </c>
      <c r="H18">
        <v>272299</v>
      </c>
      <c r="I18" s="3" t="s">
        <v>67</v>
      </c>
      <c r="J18" s="3" t="s">
        <v>68</v>
      </c>
      <c r="K18">
        <v>23</v>
      </c>
      <c r="L18" s="3" t="s">
        <v>69</v>
      </c>
      <c r="M18">
        <v>61.910062880200002</v>
      </c>
      <c r="N18">
        <v>32.024551814799999</v>
      </c>
      <c r="O18">
        <v>96.359614079699995</v>
      </c>
      <c r="P18" s="4">
        <f t="shared" si="0"/>
        <v>63.43140959156667</v>
      </c>
      <c r="Q18" s="4">
        <f t="shared" si="1"/>
        <v>26.286700452501048</v>
      </c>
      <c r="R18" s="4">
        <f t="shared" si="2"/>
        <v>0.41441141891312971</v>
      </c>
      <c r="S18" t="s">
        <v>12</v>
      </c>
    </row>
    <row r="19" spans="1:19" x14ac:dyDescent="0.35">
      <c r="A19" t="s">
        <v>10</v>
      </c>
      <c r="B19">
        <v>282237</v>
      </c>
      <c r="C19">
        <v>282260</v>
      </c>
      <c r="D19" t="s">
        <v>241</v>
      </c>
      <c r="E19">
        <v>63.43140959156667</v>
      </c>
      <c r="F19" t="s">
        <v>11</v>
      </c>
      <c r="G19">
        <v>282237</v>
      </c>
      <c r="H19">
        <v>282260</v>
      </c>
      <c r="I19" s="3" t="s">
        <v>67</v>
      </c>
      <c r="J19" s="3" t="s">
        <v>68</v>
      </c>
      <c r="K19">
        <v>23</v>
      </c>
      <c r="L19" s="3" t="s">
        <v>69</v>
      </c>
      <c r="M19">
        <v>61.910062880200002</v>
      </c>
      <c r="N19">
        <v>32.024551814799999</v>
      </c>
      <c r="O19">
        <v>96.359614079699995</v>
      </c>
      <c r="P19" s="4">
        <f t="shared" si="0"/>
        <v>63.43140959156667</v>
      </c>
      <c r="Q19" s="4">
        <f t="shared" si="1"/>
        <v>26.286700452501048</v>
      </c>
      <c r="R19" s="4">
        <f t="shared" si="2"/>
        <v>0.41441141891312971</v>
      </c>
      <c r="S19" t="s">
        <v>12</v>
      </c>
    </row>
    <row r="20" spans="1:19" x14ac:dyDescent="0.35">
      <c r="A20" t="s">
        <v>10</v>
      </c>
      <c r="B20">
        <v>338159</v>
      </c>
      <c r="C20">
        <v>338182</v>
      </c>
      <c r="D20" t="s">
        <v>279</v>
      </c>
      <c r="E20">
        <v>63.43140959156667</v>
      </c>
      <c r="F20" t="s">
        <v>11</v>
      </c>
      <c r="G20">
        <v>338159</v>
      </c>
      <c r="H20">
        <v>338182</v>
      </c>
      <c r="I20" s="3" t="s">
        <v>67</v>
      </c>
      <c r="J20" s="3" t="s">
        <v>68</v>
      </c>
      <c r="K20">
        <v>23</v>
      </c>
      <c r="L20" s="3" t="s">
        <v>69</v>
      </c>
      <c r="M20">
        <v>61.910062880200002</v>
      </c>
      <c r="N20">
        <v>32.024551814799999</v>
      </c>
      <c r="O20">
        <v>96.359614079699995</v>
      </c>
      <c r="P20" s="4">
        <f t="shared" si="0"/>
        <v>63.43140959156667</v>
      </c>
      <c r="Q20" s="4">
        <f t="shared" si="1"/>
        <v>26.286700452501048</v>
      </c>
      <c r="R20" s="4">
        <f t="shared" si="2"/>
        <v>0.41441141891312971</v>
      </c>
      <c r="S20" t="s">
        <v>12</v>
      </c>
    </row>
    <row r="21" spans="1:19" x14ac:dyDescent="0.35">
      <c r="A21" t="s">
        <v>10</v>
      </c>
      <c r="B21">
        <v>315365</v>
      </c>
      <c r="C21">
        <v>315380</v>
      </c>
      <c r="D21" t="s">
        <v>257</v>
      </c>
      <c r="E21">
        <v>63.832485802233329</v>
      </c>
      <c r="F21" t="s">
        <v>13</v>
      </c>
      <c r="G21">
        <v>315365</v>
      </c>
      <c r="H21">
        <v>315380</v>
      </c>
      <c r="I21" s="3" t="s">
        <v>67</v>
      </c>
      <c r="J21" s="3" t="s">
        <v>68</v>
      </c>
      <c r="K21">
        <v>15</v>
      </c>
      <c r="L21" s="3" t="s">
        <v>69</v>
      </c>
      <c r="M21">
        <v>142.393144624</v>
      </c>
      <c r="N21">
        <v>49.104312782699999</v>
      </c>
      <c r="O21">
        <v>0</v>
      </c>
      <c r="P21" s="4">
        <f t="shared" si="0"/>
        <v>63.832485802233329</v>
      </c>
      <c r="Q21" s="4">
        <f t="shared" si="1"/>
        <v>59.057267231887316</v>
      </c>
      <c r="R21" s="4">
        <f t="shared" si="2"/>
        <v>0.92519140512339348</v>
      </c>
      <c r="S21" t="s">
        <v>12</v>
      </c>
    </row>
    <row r="22" spans="1:19" x14ac:dyDescent="0.35">
      <c r="A22" t="s">
        <v>10</v>
      </c>
      <c r="B22">
        <v>281560</v>
      </c>
      <c r="C22">
        <v>281582</v>
      </c>
      <c r="D22" t="s">
        <v>240</v>
      </c>
      <c r="E22">
        <v>66.314655482133332</v>
      </c>
      <c r="F22" t="s">
        <v>11</v>
      </c>
      <c r="G22">
        <v>281560</v>
      </c>
      <c r="H22">
        <v>281582</v>
      </c>
      <c r="I22" s="3" t="s">
        <v>67</v>
      </c>
      <c r="J22" s="3" t="s">
        <v>68</v>
      </c>
      <c r="K22">
        <v>22</v>
      </c>
      <c r="L22" s="3" t="s">
        <v>69</v>
      </c>
      <c r="M22">
        <v>64.724156647499996</v>
      </c>
      <c r="N22">
        <v>33.480213260900001</v>
      </c>
      <c r="O22">
        <v>100.739596538</v>
      </c>
      <c r="P22" s="4">
        <f t="shared" si="0"/>
        <v>66.314655482133332</v>
      </c>
      <c r="Q22" s="4">
        <f t="shared" si="1"/>
        <v>27.481550473134849</v>
      </c>
      <c r="R22" s="4">
        <f t="shared" si="2"/>
        <v>0.41441141891386285</v>
      </c>
      <c r="S22" t="s">
        <v>12</v>
      </c>
    </row>
    <row r="23" spans="1:19" x14ac:dyDescent="0.35">
      <c r="A23" t="s">
        <v>10</v>
      </c>
      <c r="B23">
        <v>140759</v>
      </c>
      <c r="C23">
        <v>140798</v>
      </c>
      <c r="D23" t="s">
        <v>168</v>
      </c>
      <c r="E23">
        <v>68.254647988600013</v>
      </c>
      <c r="F23" t="s">
        <v>11</v>
      </c>
      <c r="G23">
        <v>140759</v>
      </c>
      <c r="H23">
        <v>140798</v>
      </c>
      <c r="I23" s="3" t="s">
        <v>67</v>
      </c>
      <c r="J23" s="3" t="s">
        <v>68</v>
      </c>
      <c r="K23">
        <v>39</v>
      </c>
      <c r="L23" s="3" t="s">
        <v>69</v>
      </c>
      <c r="M23">
        <v>91.277656810500005</v>
      </c>
      <c r="N23">
        <v>56.658822441600002</v>
      </c>
      <c r="O23">
        <v>56.827464713700003</v>
      </c>
      <c r="P23" s="4">
        <f t="shared" si="0"/>
        <v>68.254647988600013</v>
      </c>
      <c r="Q23" s="4">
        <f t="shared" si="1"/>
        <v>16.27987124158641</v>
      </c>
      <c r="R23" s="4">
        <f t="shared" si="2"/>
        <v>0.23851666840777636</v>
      </c>
      <c r="S23" t="s">
        <v>12</v>
      </c>
    </row>
    <row r="24" spans="1:19" x14ac:dyDescent="0.35">
      <c r="A24" t="s">
        <v>10</v>
      </c>
      <c r="B24">
        <v>120392</v>
      </c>
      <c r="C24">
        <v>120415</v>
      </c>
      <c r="D24" t="s">
        <v>165</v>
      </c>
      <c r="E24">
        <v>73.361473431533327</v>
      </c>
      <c r="F24" t="s">
        <v>11</v>
      </c>
      <c r="G24">
        <v>120392</v>
      </c>
      <c r="H24">
        <v>120415</v>
      </c>
      <c r="I24" s="3" t="s">
        <v>67</v>
      </c>
      <c r="J24" s="3" t="s">
        <v>68</v>
      </c>
      <c r="K24">
        <v>23</v>
      </c>
      <c r="L24" s="3" t="s">
        <v>69</v>
      </c>
      <c r="M24">
        <v>123.82012576</v>
      </c>
      <c r="N24">
        <v>32.024551814799999</v>
      </c>
      <c r="O24">
        <v>64.239742719800006</v>
      </c>
      <c r="P24" s="4">
        <f t="shared" si="0"/>
        <v>73.361473431533327</v>
      </c>
      <c r="Q24" s="4">
        <f t="shared" si="1"/>
        <v>38.026405977646668</v>
      </c>
      <c r="R24" s="4">
        <f t="shared" si="2"/>
        <v>0.5183429966566292</v>
      </c>
      <c r="S24" t="s">
        <v>12</v>
      </c>
    </row>
    <row r="25" spans="1:19" x14ac:dyDescent="0.35">
      <c r="A25" t="s">
        <v>10</v>
      </c>
      <c r="B25">
        <v>352886</v>
      </c>
      <c r="C25">
        <v>352909</v>
      </c>
      <c r="D25" t="s">
        <v>284</v>
      </c>
      <c r="E25">
        <v>73.654433859766655</v>
      </c>
      <c r="F25" t="s">
        <v>13</v>
      </c>
      <c r="G25">
        <v>352886</v>
      </c>
      <c r="H25">
        <v>352909</v>
      </c>
      <c r="I25" s="3" t="s">
        <v>67</v>
      </c>
      <c r="J25" s="3" t="s">
        <v>68</v>
      </c>
      <c r="K25">
        <v>23</v>
      </c>
      <c r="L25" s="3" t="s">
        <v>69</v>
      </c>
      <c r="M25">
        <v>92.865094320300003</v>
      </c>
      <c r="N25">
        <v>128.09820725899999</v>
      </c>
      <c r="O25">
        <v>0</v>
      </c>
      <c r="P25" s="4">
        <f t="shared" si="0"/>
        <v>73.654433859766655</v>
      </c>
      <c r="Q25" s="4">
        <f t="shared" si="1"/>
        <v>54.031316735388778</v>
      </c>
      <c r="R25" s="4">
        <f t="shared" si="2"/>
        <v>0.73357860354016102</v>
      </c>
      <c r="S25" t="s">
        <v>12</v>
      </c>
    </row>
    <row r="26" spans="1:19" x14ac:dyDescent="0.35">
      <c r="A26" t="s">
        <v>10</v>
      </c>
      <c r="B26">
        <v>338138</v>
      </c>
      <c r="C26">
        <v>338161</v>
      </c>
      <c r="D26" t="s">
        <v>278</v>
      </c>
      <c r="E26">
        <v>73.749753404933344</v>
      </c>
      <c r="F26" t="s">
        <v>13</v>
      </c>
      <c r="G26">
        <v>338138</v>
      </c>
      <c r="H26">
        <v>338161</v>
      </c>
      <c r="I26" s="3" t="s">
        <v>67</v>
      </c>
      <c r="J26" s="3" t="s">
        <v>68</v>
      </c>
      <c r="K26">
        <v>23</v>
      </c>
      <c r="L26" s="3" t="s">
        <v>69</v>
      </c>
      <c r="M26">
        <v>92.865094320300003</v>
      </c>
      <c r="N26">
        <v>32.024551814799999</v>
      </c>
      <c r="O26">
        <v>96.359614079699995</v>
      </c>
      <c r="P26" s="4">
        <f t="shared" si="0"/>
        <v>73.749753404933344</v>
      </c>
      <c r="Q26" s="4">
        <f t="shared" si="1"/>
        <v>29.538644212738852</v>
      </c>
      <c r="R26" s="4">
        <f t="shared" si="2"/>
        <v>0.40052532854656192</v>
      </c>
      <c r="S26" t="s">
        <v>12</v>
      </c>
    </row>
    <row r="27" spans="1:19" x14ac:dyDescent="0.35">
      <c r="A27" t="s">
        <v>10</v>
      </c>
      <c r="B27">
        <v>286806</v>
      </c>
      <c r="C27">
        <v>286835</v>
      </c>
      <c r="D27" t="s">
        <v>242</v>
      </c>
      <c r="E27">
        <v>84.248311234300004</v>
      </c>
      <c r="F27" t="s">
        <v>13</v>
      </c>
      <c r="G27">
        <v>286806</v>
      </c>
      <c r="H27">
        <v>286835</v>
      </c>
      <c r="I27" s="3" t="s">
        <v>67</v>
      </c>
      <c r="J27" s="3" t="s">
        <v>68</v>
      </c>
      <c r="K27">
        <v>29</v>
      </c>
      <c r="L27" s="3" t="s">
        <v>69</v>
      </c>
      <c r="M27">
        <v>49.101084353300003</v>
      </c>
      <c r="N27">
        <v>50.797564947600002</v>
      </c>
      <c r="O27">
        <v>152.84628440200001</v>
      </c>
      <c r="P27" s="4">
        <f t="shared" si="0"/>
        <v>84.248311234300004</v>
      </c>
      <c r="Q27" s="4">
        <f t="shared" si="1"/>
        <v>48.511036226402986</v>
      </c>
      <c r="R27" s="4">
        <f t="shared" si="2"/>
        <v>0.57581019151221502</v>
      </c>
      <c r="S27" t="s">
        <v>12</v>
      </c>
    </row>
    <row r="28" spans="1:19" x14ac:dyDescent="0.35">
      <c r="A28" t="s">
        <v>10</v>
      </c>
      <c r="B28">
        <v>33421</v>
      </c>
      <c r="C28">
        <v>33444</v>
      </c>
      <c r="D28" t="s">
        <v>105</v>
      </c>
      <c r="E28">
        <v>85.169390774833332</v>
      </c>
      <c r="F28" t="s">
        <v>13</v>
      </c>
      <c r="G28">
        <v>33421</v>
      </c>
      <c r="H28">
        <v>33444</v>
      </c>
      <c r="I28" s="3" t="s">
        <v>67</v>
      </c>
      <c r="J28" s="3" t="s">
        <v>68</v>
      </c>
      <c r="K28">
        <v>23</v>
      </c>
      <c r="L28" s="3" t="s">
        <v>69</v>
      </c>
      <c r="M28">
        <v>30.955031440100001</v>
      </c>
      <c r="N28">
        <v>96.073655444400003</v>
      </c>
      <c r="O28">
        <v>128.47948543999999</v>
      </c>
      <c r="P28" s="4">
        <f t="shared" si="0"/>
        <v>85.169390774833332</v>
      </c>
      <c r="Q28" s="4">
        <f t="shared" si="1"/>
        <v>40.553931358810125</v>
      </c>
      <c r="R28" s="4">
        <f t="shared" si="2"/>
        <v>0.47615617523934889</v>
      </c>
      <c r="S28" t="s">
        <v>12</v>
      </c>
    </row>
    <row r="29" spans="1:19" x14ac:dyDescent="0.35">
      <c r="A29" t="s">
        <v>10</v>
      </c>
      <c r="B29">
        <v>315840</v>
      </c>
      <c r="C29">
        <v>315862</v>
      </c>
      <c r="D29" t="s">
        <v>258</v>
      </c>
      <c r="E29">
        <v>88.262086010333334</v>
      </c>
      <c r="F29" t="s">
        <v>13</v>
      </c>
      <c r="G29">
        <v>315840</v>
      </c>
      <c r="H29">
        <v>315862</v>
      </c>
      <c r="I29" s="3" t="s">
        <v>67</v>
      </c>
      <c r="J29" s="3" t="s">
        <v>68</v>
      </c>
      <c r="K29">
        <v>22</v>
      </c>
      <c r="L29" s="3" t="s">
        <v>69</v>
      </c>
      <c r="M29">
        <v>97.0862349712</v>
      </c>
      <c r="N29">
        <v>66.960426521800002</v>
      </c>
      <c r="O29">
        <v>100.739596538</v>
      </c>
      <c r="P29" s="4">
        <f t="shared" si="0"/>
        <v>88.262086010333334</v>
      </c>
      <c r="Q29" s="4">
        <f t="shared" si="1"/>
        <v>15.13621012469793</v>
      </c>
      <c r="R29" s="4">
        <f t="shared" si="2"/>
        <v>0.17149164277542511</v>
      </c>
      <c r="S29" t="s">
        <v>12</v>
      </c>
    </row>
    <row r="30" spans="1:19" x14ac:dyDescent="0.35">
      <c r="A30" t="s">
        <v>10</v>
      </c>
      <c r="B30">
        <v>175014</v>
      </c>
      <c r="C30">
        <v>175036</v>
      </c>
      <c r="D30" t="s">
        <v>178</v>
      </c>
      <c r="E30">
        <v>88.601580238933323</v>
      </c>
      <c r="F30" t="s">
        <v>11</v>
      </c>
      <c r="G30">
        <v>175014</v>
      </c>
      <c r="H30">
        <v>175036</v>
      </c>
      <c r="I30" s="3" t="s">
        <v>67</v>
      </c>
      <c r="J30" s="3" t="s">
        <v>68</v>
      </c>
      <c r="K30">
        <v>22</v>
      </c>
      <c r="L30" s="3" t="s">
        <v>69</v>
      </c>
      <c r="M30">
        <v>64.724156647499996</v>
      </c>
      <c r="N30">
        <v>133.92085304400001</v>
      </c>
      <c r="O30">
        <v>67.159731025300005</v>
      </c>
      <c r="P30" s="4">
        <f t="shared" si="0"/>
        <v>88.601580238933323</v>
      </c>
      <c r="Q30" s="4">
        <f t="shared" si="1"/>
        <v>32.060987417966345</v>
      </c>
      <c r="R30" s="4">
        <f t="shared" si="2"/>
        <v>0.36185570654052623</v>
      </c>
      <c r="S30" t="s">
        <v>12</v>
      </c>
    </row>
    <row r="31" spans="1:19" x14ac:dyDescent="0.35">
      <c r="A31" t="s">
        <v>10</v>
      </c>
      <c r="B31">
        <v>255933</v>
      </c>
      <c r="C31">
        <v>255949</v>
      </c>
      <c r="D31" t="s">
        <v>216</v>
      </c>
      <c r="E31">
        <v>91.649455851966664</v>
      </c>
      <c r="F31" t="s">
        <v>11</v>
      </c>
      <c r="G31">
        <v>255933</v>
      </c>
      <c r="H31">
        <v>255949</v>
      </c>
      <c r="I31" s="3" t="s">
        <v>67</v>
      </c>
      <c r="J31" s="3" t="s">
        <v>68</v>
      </c>
      <c r="K31">
        <v>16</v>
      </c>
      <c r="L31" s="3" t="s">
        <v>69</v>
      </c>
      <c r="M31">
        <v>44.497857695100002</v>
      </c>
      <c r="N31">
        <v>138.10587970099999</v>
      </c>
      <c r="O31">
        <v>92.344630159800005</v>
      </c>
      <c r="P31" s="4">
        <f t="shared" si="0"/>
        <v>91.649455851966664</v>
      </c>
      <c r="Q31" s="4">
        <f t="shared" si="1"/>
        <v>38.218476303597527</v>
      </c>
      <c r="R31" s="4">
        <f t="shared" si="2"/>
        <v>0.41700712730175377</v>
      </c>
      <c r="S31" t="s">
        <v>12</v>
      </c>
    </row>
    <row r="32" spans="1:19" x14ac:dyDescent="0.35">
      <c r="A32" t="s">
        <v>10</v>
      </c>
      <c r="B32">
        <v>339846</v>
      </c>
      <c r="C32">
        <v>339869</v>
      </c>
      <c r="D32" t="s">
        <v>281</v>
      </c>
      <c r="E32">
        <v>94.647628277999999</v>
      </c>
      <c r="F32" t="s">
        <v>11</v>
      </c>
      <c r="G32">
        <v>339846</v>
      </c>
      <c r="H32">
        <v>339869</v>
      </c>
      <c r="I32" s="3" t="s">
        <v>67</v>
      </c>
      <c r="J32" s="3" t="s">
        <v>68</v>
      </c>
      <c r="K32">
        <v>23</v>
      </c>
      <c r="L32" s="3" t="s">
        <v>69</v>
      </c>
      <c r="M32">
        <v>123.82012576</v>
      </c>
      <c r="N32">
        <v>160.12275907399999</v>
      </c>
      <c r="O32">
        <v>0</v>
      </c>
      <c r="P32" s="4">
        <f t="shared" si="0"/>
        <v>94.647628277999999</v>
      </c>
      <c r="Q32" s="4">
        <f t="shared" si="1"/>
        <v>68.547309455443653</v>
      </c>
      <c r="R32" s="4">
        <f t="shared" si="2"/>
        <v>0.72423694816848216</v>
      </c>
      <c r="S32" t="s">
        <v>12</v>
      </c>
    </row>
    <row r="33" spans="1:19" x14ac:dyDescent="0.35">
      <c r="A33" t="s">
        <v>10</v>
      </c>
      <c r="B33">
        <v>247632</v>
      </c>
      <c r="C33">
        <v>247649</v>
      </c>
      <c r="D33" t="s">
        <v>213</v>
      </c>
      <c r="E33">
        <v>100.74374357206666</v>
      </c>
      <c r="F33" t="s">
        <v>11</v>
      </c>
      <c r="G33">
        <v>247632</v>
      </c>
      <c r="H33">
        <v>247649</v>
      </c>
      <c r="I33" s="3" t="s">
        <v>67</v>
      </c>
      <c r="J33" s="3" t="s">
        <v>68</v>
      </c>
      <c r="K33">
        <v>17</v>
      </c>
      <c r="L33" s="3" t="s">
        <v>69</v>
      </c>
      <c r="M33">
        <v>41.880336654200001</v>
      </c>
      <c r="N33">
        <v>129.98200442500001</v>
      </c>
      <c r="O33">
        <v>130.368889637</v>
      </c>
      <c r="P33" s="4">
        <f t="shared" si="0"/>
        <v>100.74374357206666</v>
      </c>
      <c r="Q33" s="4">
        <f t="shared" si="1"/>
        <v>41.623013870738873</v>
      </c>
      <c r="R33" s="4">
        <f t="shared" si="2"/>
        <v>0.41315730778819038</v>
      </c>
      <c r="S33" t="s">
        <v>12</v>
      </c>
    </row>
    <row r="34" spans="1:19" x14ac:dyDescent="0.35">
      <c r="A34" t="s">
        <v>10</v>
      </c>
      <c r="B34">
        <v>119107</v>
      </c>
      <c r="C34">
        <v>119130</v>
      </c>
      <c r="D34" t="s">
        <v>164</v>
      </c>
      <c r="E34">
        <v>105.67898567476668</v>
      </c>
      <c r="F34" t="s">
        <v>13</v>
      </c>
      <c r="G34">
        <v>119107</v>
      </c>
      <c r="H34">
        <v>119130</v>
      </c>
      <c r="I34" s="3" t="s">
        <v>67</v>
      </c>
      <c r="J34" s="3" t="s">
        <v>68</v>
      </c>
      <c r="K34">
        <v>23</v>
      </c>
      <c r="L34" s="3" t="s">
        <v>69</v>
      </c>
      <c r="M34">
        <v>92.865094320300003</v>
      </c>
      <c r="N34">
        <v>224.17186270400001</v>
      </c>
      <c r="O34">
        <v>0</v>
      </c>
      <c r="P34" s="4">
        <f t="shared" si="0"/>
        <v>105.67898567476668</v>
      </c>
      <c r="Q34" s="4">
        <f t="shared" si="1"/>
        <v>91.965221200836964</v>
      </c>
      <c r="R34" s="4">
        <f t="shared" si="2"/>
        <v>0.87023186883970827</v>
      </c>
      <c r="S34" t="s">
        <v>12</v>
      </c>
    </row>
    <row r="35" spans="1:19" x14ac:dyDescent="0.35">
      <c r="A35" t="s">
        <v>10</v>
      </c>
      <c r="B35">
        <v>338006</v>
      </c>
      <c r="C35">
        <v>338029</v>
      </c>
      <c r="D35" t="s">
        <v>277</v>
      </c>
      <c r="E35">
        <v>106.22613155626668</v>
      </c>
      <c r="F35" t="s">
        <v>13</v>
      </c>
      <c r="G35">
        <v>338006</v>
      </c>
      <c r="H35">
        <v>338029</v>
      </c>
      <c r="I35" s="3" t="s">
        <v>67</v>
      </c>
      <c r="J35" s="3" t="s">
        <v>68</v>
      </c>
      <c r="K35">
        <v>23</v>
      </c>
      <c r="L35" s="3" t="s">
        <v>69</v>
      </c>
      <c r="M35">
        <v>61.910062880200002</v>
      </c>
      <c r="N35">
        <v>64.049103629599998</v>
      </c>
      <c r="O35">
        <v>192.71922815900001</v>
      </c>
      <c r="P35" s="4">
        <f t="shared" si="0"/>
        <v>106.22613155626668</v>
      </c>
      <c r="Q35" s="4">
        <f t="shared" si="1"/>
        <v>61.166089155016934</v>
      </c>
      <c r="R35" s="4">
        <f t="shared" si="2"/>
        <v>0.57581019151222701</v>
      </c>
      <c r="S35" t="s">
        <v>12</v>
      </c>
    </row>
    <row r="36" spans="1:19" x14ac:dyDescent="0.35">
      <c r="A36" t="s">
        <v>10</v>
      </c>
      <c r="B36">
        <v>172458</v>
      </c>
      <c r="C36">
        <v>172474</v>
      </c>
      <c r="D36" t="s">
        <v>177</v>
      </c>
      <c r="E36">
        <v>106.57342298136666</v>
      </c>
      <c r="F36" t="s">
        <v>13</v>
      </c>
      <c r="G36">
        <v>172458</v>
      </c>
      <c r="H36">
        <v>172474</v>
      </c>
      <c r="I36" s="3" t="s">
        <v>67</v>
      </c>
      <c r="J36" s="3" t="s">
        <v>68</v>
      </c>
      <c r="K36">
        <v>16</v>
      </c>
      <c r="L36" s="3" t="s">
        <v>69</v>
      </c>
      <c r="M36">
        <v>88.995715390300006</v>
      </c>
      <c r="N36">
        <v>46.035293233799997</v>
      </c>
      <c r="O36">
        <v>184.68926031999999</v>
      </c>
      <c r="P36" s="4">
        <f t="shared" si="0"/>
        <v>106.57342298136666</v>
      </c>
      <c r="Q36" s="4">
        <f t="shared" si="1"/>
        <v>57.953789063948989</v>
      </c>
      <c r="R36" s="4">
        <f t="shared" si="2"/>
        <v>0.54379213356111922</v>
      </c>
      <c r="S36" t="s">
        <v>12</v>
      </c>
    </row>
    <row r="37" spans="1:19" x14ac:dyDescent="0.35">
      <c r="A37" t="s">
        <v>10</v>
      </c>
      <c r="B37">
        <v>105931</v>
      </c>
      <c r="C37">
        <v>105953</v>
      </c>
      <c r="D37" t="s">
        <v>158</v>
      </c>
      <c r="E37">
        <v>110.88850499536666</v>
      </c>
      <c r="F37" t="s">
        <v>13</v>
      </c>
      <c r="G37">
        <v>105931</v>
      </c>
      <c r="H37">
        <v>105953</v>
      </c>
      <c r="I37" s="3" t="s">
        <v>67</v>
      </c>
      <c r="J37" s="3" t="s">
        <v>68</v>
      </c>
      <c r="K37">
        <v>22</v>
      </c>
      <c r="L37" s="3" t="s">
        <v>69</v>
      </c>
      <c r="M37">
        <v>64.724156647499996</v>
      </c>
      <c r="N37">
        <v>234.36149282599999</v>
      </c>
      <c r="O37">
        <v>33.579865512600001</v>
      </c>
      <c r="P37" s="4">
        <f t="shared" si="0"/>
        <v>110.88850499536666</v>
      </c>
      <c r="Q37" s="4">
        <f t="shared" si="1"/>
        <v>88.229533076862083</v>
      </c>
      <c r="R37" s="4">
        <f t="shared" si="2"/>
        <v>0.79565986646270181</v>
      </c>
      <c r="S37" t="s">
        <v>12</v>
      </c>
    </row>
    <row r="38" spans="1:19" x14ac:dyDescent="0.35">
      <c r="A38" t="s">
        <v>10</v>
      </c>
      <c r="B38">
        <v>354110</v>
      </c>
      <c r="C38">
        <v>354133</v>
      </c>
      <c r="D38" t="s">
        <v>285</v>
      </c>
      <c r="E38">
        <v>114.95958229510001</v>
      </c>
      <c r="F38" t="s">
        <v>11</v>
      </c>
      <c r="G38">
        <v>354110</v>
      </c>
      <c r="H38">
        <v>354133</v>
      </c>
      <c r="I38" s="3" t="s">
        <v>67</v>
      </c>
      <c r="J38" s="3" t="s">
        <v>68</v>
      </c>
      <c r="K38">
        <v>23</v>
      </c>
      <c r="L38" s="3" t="s">
        <v>69</v>
      </c>
      <c r="M38">
        <v>216.68522008100001</v>
      </c>
      <c r="N38">
        <v>96.073655444400003</v>
      </c>
      <c r="O38">
        <v>32.119871359900003</v>
      </c>
      <c r="P38" s="4">
        <f t="shared" si="0"/>
        <v>114.95958229510001</v>
      </c>
      <c r="Q38" s="4">
        <f t="shared" si="1"/>
        <v>76.522766380961471</v>
      </c>
      <c r="R38" s="4">
        <f t="shared" si="2"/>
        <v>0.66564930781088227</v>
      </c>
      <c r="S38" t="s">
        <v>12</v>
      </c>
    </row>
    <row r="39" spans="1:19" x14ac:dyDescent="0.35">
      <c r="A39" t="s">
        <v>10</v>
      </c>
      <c r="B39">
        <v>65441</v>
      </c>
      <c r="C39">
        <v>65462</v>
      </c>
      <c r="D39" t="s">
        <v>126</v>
      </c>
      <c r="E39">
        <v>115.10192813416666</v>
      </c>
      <c r="F39" t="s">
        <v>11</v>
      </c>
      <c r="G39">
        <v>65441</v>
      </c>
      <c r="H39">
        <v>65462</v>
      </c>
      <c r="I39" s="3" t="s">
        <v>67</v>
      </c>
      <c r="J39" s="3" t="s">
        <v>68</v>
      </c>
      <c r="K39">
        <v>21</v>
      </c>
      <c r="L39" s="3" t="s">
        <v>69</v>
      </c>
      <c r="M39">
        <v>169.51564836200001</v>
      </c>
      <c r="N39">
        <v>35.074509130499997</v>
      </c>
      <c r="O39">
        <v>140.71562691</v>
      </c>
      <c r="P39" s="4">
        <f t="shared" si="0"/>
        <v>115.10192813416666</v>
      </c>
      <c r="Q39" s="4">
        <f t="shared" si="1"/>
        <v>57.796488666124823</v>
      </c>
      <c r="R39" s="4">
        <f t="shared" si="2"/>
        <v>0.50213310587425874</v>
      </c>
      <c r="S39" t="s">
        <v>12</v>
      </c>
    </row>
    <row r="40" spans="1:19" x14ac:dyDescent="0.35">
      <c r="A40" t="s">
        <v>10</v>
      </c>
      <c r="B40">
        <v>273141</v>
      </c>
      <c r="C40">
        <v>273164</v>
      </c>
      <c r="D40" t="s">
        <v>231</v>
      </c>
      <c r="E40">
        <v>116.54447536963335</v>
      </c>
      <c r="F40" t="s">
        <v>11</v>
      </c>
      <c r="G40">
        <v>273141</v>
      </c>
      <c r="H40">
        <v>273164</v>
      </c>
      <c r="I40" s="3" t="s">
        <v>67</v>
      </c>
      <c r="J40" s="3" t="s">
        <v>68</v>
      </c>
      <c r="K40">
        <v>23</v>
      </c>
      <c r="L40" s="3" t="s">
        <v>69</v>
      </c>
      <c r="M40">
        <v>92.865094320300003</v>
      </c>
      <c r="N40">
        <v>64.049103629599998</v>
      </c>
      <c r="O40">
        <v>192.71922815900001</v>
      </c>
      <c r="P40" s="4">
        <f t="shared" si="0"/>
        <v>116.54447536963335</v>
      </c>
      <c r="Q40" s="4">
        <f t="shared" si="1"/>
        <v>55.133384029173428</v>
      </c>
      <c r="R40" s="4">
        <f t="shared" si="2"/>
        <v>0.47306733205767126</v>
      </c>
      <c r="S40" t="s">
        <v>12</v>
      </c>
    </row>
    <row r="41" spans="1:19" x14ac:dyDescent="0.35">
      <c r="A41" t="s">
        <v>10</v>
      </c>
      <c r="B41">
        <v>318340</v>
      </c>
      <c r="C41">
        <v>318360</v>
      </c>
      <c r="D41" t="s">
        <v>259</v>
      </c>
      <c r="E41">
        <v>122.01389465400001</v>
      </c>
      <c r="F41" t="s">
        <v>13</v>
      </c>
      <c r="G41">
        <v>318340</v>
      </c>
      <c r="H41">
        <v>318360</v>
      </c>
      <c r="I41" s="3" t="s">
        <v>67</v>
      </c>
      <c r="J41" s="3" t="s">
        <v>68</v>
      </c>
      <c r="K41">
        <v>20</v>
      </c>
      <c r="L41" s="3" t="s">
        <v>69</v>
      </c>
      <c r="M41">
        <v>71.196572312200004</v>
      </c>
      <c r="N41">
        <v>220.96940752200001</v>
      </c>
      <c r="O41">
        <v>73.875704127800006</v>
      </c>
      <c r="P41" s="4">
        <f t="shared" si="0"/>
        <v>122.01389465400001</v>
      </c>
      <c r="Q41" s="4">
        <f t="shared" si="1"/>
        <v>69.980662005290299</v>
      </c>
      <c r="R41" s="4">
        <f t="shared" si="2"/>
        <v>0.57354666207268801</v>
      </c>
      <c r="S41" t="s">
        <v>12</v>
      </c>
    </row>
    <row r="42" spans="1:19" x14ac:dyDescent="0.35">
      <c r="A42" t="s">
        <v>10</v>
      </c>
      <c r="B42">
        <v>273110</v>
      </c>
      <c r="C42">
        <v>273133</v>
      </c>
      <c r="D42" t="s">
        <v>230</v>
      </c>
      <c r="E42">
        <v>126.73572645626666</v>
      </c>
      <c r="F42" t="s">
        <v>13</v>
      </c>
      <c r="G42">
        <v>273110</v>
      </c>
      <c r="H42">
        <v>273133</v>
      </c>
      <c r="I42" s="3" t="s">
        <v>67</v>
      </c>
      <c r="J42" s="3" t="s">
        <v>68</v>
      </c>
      <c r="K42">
        <v>23</v>
      </c>
      <c r="L42" s="3" t="s">
        <v>69</v>
      </c>
      <c r="M42">
        <v>123.82012576</v>
      </c>
      <c r="N42">
        <v>192.14731088900001</v>
      </c>
      <c r="O42">
        <v>64.239742719800006</v>
      </c>
      <c r="P42" s="4">
        <f t="shared" si="0"/>
        <v>126.73572645626666</v>
      </c>
      <c r="Q42" s="4">
        <f t="shared" si="1"/>
        <v>52.258728421222884</v>
      </c>
      <c r="R42" s="4">
        <f t="shared" si="2"/>
        <v>0.41234409493250562</v>
      </c>
      <c r="S42" t="s">
        <v>12</v>
      </c>
    </row>
    <row r="43" spans="1:19" x14ac:dyDescent="0.35">
      <c r="A43" t="s">
        <v>10</v>
      </c>
      <c r="B43">
        <v>33602</v>
      </c>
      <c r="C43">
        <v>33625</v>
      </c>
      <c r="D43" t="s">
        <v>106</v>
      </c>
      <c r="E43">
        <v>127.25109915629999</v>
      </c>
      <c r="F43" t="s">
        <v>11</v>
      </c>
      <c r="G43">
        <v>33602</v>
      </c>
      <c r="H43">
        <v>33625</v>
      </c>
      <c r="I43" s="3" t="s">
        <v>67</v>
      </c>
      <c r="J43" s="3" t="s">
        <v>68</v>
      </c>
      <c r="K43">
        <v>23</v>
      </c>
      <c r="L43" s="3" t="s">
        <v>69</v>
      </c>
      <c r="M43">
        <v>92.865094320300003</v>
      </c>
      <c r="N43">
        <v>64.049103629599998</v>
      </c>
      <c r="O43">
        <v>224.839099519</v>
      </c>
      <c r="P43" s="4">
        <f t="shared" si="0"/>
        <v>127.25109915629999</v>
      </c>
      <c r="Q43" s="4">
        <f t="shared" si="1"/>
        <v>70.000731857909315</v>
      </c>
      <c r="R43" s="4">
        <f t="shared" si="2"/>
        <v>0.55009923153535056</v>
      </c>
      <c r="S43" t="s">
        <v>12</v>
      </c>
    </row>
    <row r="44" spans="1:19" x14ac:dyDescent="0.35">
      <c r="A44" t="s">
        <v>10</v>
      </c>
      <c r="B44">
        <v>333110</v>
      </c>
      <c r="C44">
        <v>333147</v>
      </c>
      <c r="D44" t="s">
        <v>274</v>
      </c>
      <c r="E44">
        <v>131.50319027333333</v>
      </c>
      <c r="F44" t="s">
        <v>11</v>
      </c>
      <c r="G44">
        <v>333110</v>
      </c>
      <c r="H44">
        <v>333147</v>
      </c>
      <c r="I44" s="3" t="s">
        <v>67</v>
      </c>
      <c r="J44" s="3" t="s">
        <v>68</v>
      </c>
      <c r="K44">
        <v>37</v>
      </c>
      <c r="L44" s="3" t="s">
        <v>69</v>
      </c>
      <c r="M44">
        <v>115.453901047</v>
      </c>
      <c r="N44">
        <v>159.257230647</v>
      </c>
      <c r="O44">
        <v>119.79843912600001</v>
      </c>
      <c r="P44" s="4">
        <f t="shared" si="0"/>
        <v>131.50319027333333</v>
      </c>
      <c r="Q44" s="4">
        <f t="shared" si="1"/>
        <v>19.705055537049525</v>
      </c>
      <c r="R44" s="4">
        <f t="shared" si="2"/>
        <v>0.14984469575294695</v>
      </c>
      <c r="S44" t="s">
        <v>12</v>
      </c>
    </row>
    <row r="45" spans="1:19" x14ac:dyDescent="0.35">
      <c r="A45" t="s">
        <v>10</v>
      </c>
      <c r="B45">
        <v>254298</v>
      </c>
      <c r="C45">
        <v>254320</v>
      </c>
      <c r="D45" t="s">
        <v>214</v>
      </c>
      <c r="E45">
        <v>131.78423542099998</v>
      </c>
      <c r="F45" t="s">
        <v>11</v>
      </c>
      <c r="G45">
        <v>254298</v>
      </c>
      <c r="H45">
        <v>254320</v>
      </c>
      <c r="I45" s="3" t="s">
        <v>67</v>
      </c>
      <c r="J45" s="3" t="s">
        <v>68</v>
      </c>
      <c r="K45">
        <v>22</v>
      </c>
      <c r="L45" s="3" t="s">
        <v>69</v>
      </c>
      <c r="M45">
        <v>194.17246994199999</v>
      </c>
      <c r="N45">
        <v>100.44063978299999</v>
      </c>
      <c r="O45">
        <v>100.739596538</v>
      </c>
      <c r="P45" s="4">
        <f t="shared" si="0"/>
        <v>131.78423542099998</v>
      </c>
      <c r="Q45" s="4">
        <f t="shared" si="1"/>
        <v>44.115312525024031</v>
      </c>
      <c r="R45" s="4">
        <f t="shared" si="2"/>
        <v>0.33475409546591489</v>
      </c>
      <c r="S45" t="s">
        <v>12</v>
      </c>
    </row>
    <row r="46" spans="1:19" x14ac:dyDescent="0.35">
      <c r="A46" t="s">
        <v>10</v>
      </c>
      <c r="B46">
        <v>1930</v>
      </c>
      <c r="C46">
        <v>1950</v>
      </c>
      <c r="D46" t="s">
        <v>88</v>
      </c>
      <c r="E46">
        <v>133.579624706</v>
      </c>
      <c r="F46" t="s">
        <v>11</v>
      </c>
      <c r="G46">
        <v>1930</v>
      </c>
      <c r="H46">
        <v>1950</v>
      </c>
      <c r="I46" s="3" t="s">
        <v>67</v>
      </c>
      <c r="J46" s="3" t="s">
        <v>68</v>
      </c>
      <c r="K46">
        <v>20</v>
      </c>
      <c r="L46" s="3" t="s">
        <v>69</v>
      </c>
      <c r="M46">
        <v>142.393144624</v>
      </c>
      <c r="N46">
        <v>73.656469173999994</v>
      </c>
      <c r="O46">
        <v>184.68926031999999</v>
      </c>
      <c r="P46" s="4">
        <f t="shared" si="0"/>
        <v>133.579624706</v>
      </c>
      <c r="Q46" s="4">
        <f t="shared" si="1"/>
        <v>45.755355077677685</v>
      </c>
      <c r="R46" s="4">
        <f t="shared" si="2"/>
        <v>0.34253244219230455</v>
      </c>
      <c r="S46" t="s">
        <v>12</v>
      </c>
    </row>
    <row r="47" spans="1:19" x14ac:dyDescent="0.35">
      <c r="A47" t="s">
        <v>10</v>
      </c>
      <c r="B47">
        <v>313408</v>
      </c>
      <c r="C47">
        <v>313431</v>
      </c>
      <c r="D47" t="s">
        <v>255</v>
      </c>
      <c r="E47">
        <v>137.50589660633332</v>
      </c>
      <c r="F47" t="s">
        <v>11</v>
      </c>
      <c r="G47">
        <v>313408</v>
      </c>
      <c r="H47">
        <v>313431</v>
      </c>
      <c r="I47" s="3" t="s">
        <v>67</v>
      </c>
      <c r="J47" s="3" t="s">
        <v>68</v>
      </c>
      <c r="K47">
        <v>23</v>
      </c>
      <c r="L47" s="3" t="s">
        <v>69</v>
      </c>
      <c r="M47">
        <v>123.82012576</v>
      </c>
      <c r="N47">
        <v>128.09820725899999</v>
      </c>
      <c r="O47">
        <v>160.59935680000001</v>
      </c>
      <c r="P47" s="4">
        <f t="shared" si="0"/>
        <v>137.50589660633332</v>
      </c>
      <c r="Q47" s="4">
        <f t="shared" si="1"/>
        <v>16.422675850083412</v>
      </c>
      <c r="R47" s="4">
        <f t="shared" si="2"/>
        <v>0.11943252075291007</v>
      </c>
      <c r="S47" t="s">
        <v>12</v>
      </c>
    </row>
    <row r="48" spans="1:19" x14ac:dyDescent="0.35">
      <c r="A48" t="s">
        <v>10</v>
      </c>
      <c r="B48">
        <v>272648</v>
      </c>
      <c r="C48">
        <v>272671</v>
      </c>
      <c r="D48" t="s">
        <v>229</v>
      </c>
      <c r="E48">
        <v>137.92594976123334</v>
      </c>
      <c r="F48" t="s">
        <v>11</v>
      </c>
      <c r="G48">
        <v>272648</v>
      </c>
      <c r="H48">
        <v>272671</v>
      </c>
      <c r="I48" s="3" t="s">
        <v>67</v>
      </c>
      <c r="J48" s="3" t="s">
        <v>68</v>
      </c>
      <c r="K48">
        <v>23</v>
      </c>
      <c r="L48" s="3" t="s">
        <v>69</v>
      </c>
      <c r="M48">
        <v>92.865094320300003</v>
      </c>
      <c r="N48">
        <v>96.073655444400003</v>
      </c>
      <c r="O48">
        <v>224.839099519</v>
      </c>
      <c r="P48" s="4">
        <f t="shared" si="0"/>
        <v>137.92594976123334</v>
      </c>
      <c r="Q48" s="4">
        <f t="shared" si="1"/>
        <v>61.470835451910318</v>
      </c>
      <c r="R48" s="4">
        <f t="shared" si="2"/>
        <v>0.44567998667635672</v>
      </c>
      <c r="S48" t="s">
        <v>12</v>
      </c>
    </row>
    <row r="49" spans="1:19" x14ac:dyDescent="0.35">
      <c r="A49" t="s">
        <v>10</v>
      </c>
      <c r="B49">
        <v>86225</v>
      </c>
      <c r="C49">
        <v>86239</v>
      </c>
      <c r="D49" t="s">
        <v>144</v>
      </c>
      <c r="E49">
        <v>138.64536493199998</v>
      </c>
      <c r="F49" t="s">
        <v>13</v>
      </c>
      <c r="G49">
        <v>86225</v>
      </c>
      <c r="H49">
        <v>86239</v>
      </c>
      <c r="I49" s="3" t="s">
        <v>67</v>
      </c>
      <c r="J49" s="3" t="s">
        <v>68</v>
      </c>
      <c r="K49">
        <v>14</v>
      </c>
      <c r="L49" s="3" t="s">
        <v>69</v>
      </c>
      <c r="M49">
        <v>152.56408352599999</v>
      </c>
      <c r="N49">
        <v>157.835291087</v>
      </c>
      <c r="O49">
        <v>105.536720183</v>
      </c>
      <c r="P49" s="4">
        <f t="shared" si="0"/>
        <v>138.64536493199998</v>
      </c>
      <c r="Q49" s="4">
        <f t="shared" si="1"/>
        <v>23.510042891275234</v>
      </c>
      <c r="R49" s="4">
        <f t="shared" si="2"/>
        <v>0.16956962753717711</v>
      </c>
      <c r="S49" t="s">
        <v>12</v>
      </c>
    </row>
    <row r="50" spans="1:19" x14ac:dyDescent="0.35">
      <c r="A50" t="s">
        <v>10</v>
      </c>
      <c r="B50">
        <v>36762</v>
      </c>
      <c r="C50">
        <v>36793</v>
      </c>
      <c r="D50" t="s">
        <v>109</v>
      </c>
      <c r="E50">
        <v>140.3453782853</v>
      </c>
      <c r="F50" t="s">
        <v>13</v>
      </c>
      <c r="G50">
        <v>36762</v>
      </c>
      <c r="H50">
        <v>36793</v>
      </c>
      <c r="I50" s="3" t="s">
        <v>67</v>
      </c>
      <c r="J50" s="3" t="s">
        <v>68</v>
      </c>
      <c r="K50">
        <v>31</v>
      </c>
      <c r="L50" s="3" t="s">
        <v>69</v>
      </c>
      <c r="M50">
        <v>206.69972606799999</v>
      </c>
      <c r="N50">
        <v>47.520302692900003</v>
      </c>
      <c r="O50">
        <v>166.81610609500001</v>
      </c>
      <c r="P50" s="4">
        <f t="shared" si="0"/>
        <v>140.3453782853</v>
      </c>
      <c r="Q50" s="4">
        <f t="shared" si="1"/>
        <v>67.626655393608189</v>
      </c>
      <c r="R50" s="4">
        <f t="shared" si="2"/>
        <v>0.48185879877094256</v>
      </c>
      <c r="S50" t="s">
        <v>12</v>
      </c>
    </row>
    <row r="51" spans="1:19" x14ac:dyDescent="0.35">
      <c r="A51" t="s">
        <v>10</v>
      </c>
      <c r="B51">
        <v>36600</v>
      </c>
      <c r="C51">
        <v>36631</v>
      </c>
      <c r="D51" t="s">
        <v>107</v>
      </c>
      <c r="E51">
        <v>141.37982478999999</v>
      </c>
      <c r="F51" t="s">
        <v>13</v>
      </c>
      <c r="G51">
        <v>36600</v>
      </c>
      <c r="H51">
        <v>36631</v>
      </c>
      <c r="I51" s="3" t="s">
        <v>67</v>
      </c>
      <c r="J51" s="3" t="s">
        <v>68</v>
      </c>
      <c r="K51">
        <v>31</v>
      </c>
      <c r="L51" s="3" t="s">
        <v>69</v>
      </c>
      <c r="M51">
        <v>114.833181149</v>
      </c>
      <c r="N51">
        <v>166.32105942499999</v>
      </c>
      <c r="O51">
        <v>142.98523379599999</v>
      </c>
      <c r="P51" s="4">
        <f t="shared" si="0"/>
        <v>141.37982478999999</v>
      </c>
      <c r="Q51" s="4">
        <f t="shared" si="1"/>
        <v>21.050469605188745</v>
      </c>
      <c r="R51" s="4">
        <f t="shared" si="2"/>
        <v>0.14889302371435445</v>
      </c>
      <c r="S51" t="s">
        <v>12</v>
      </c>
    </row>
    <row r="52" spans="1:19" x14ac:dyDescent="0.35">
      <c r="A52" t="s">
        <v>10</v>
      </c>
      <c r="B52">
        <v>355892</v>
      </c>
      <c r="C52">
        <v>355909</v>
      </c>
      <c r="D52" t="s">
        <v>286</v>
      </c>
      <c r="E52">
        <v>144.11406562606666</v>
      </c>
      <c r="F52" t="s">
        <v>11</v>
      </c>
      <c r="G52">
        <v>355892</v>
      </c>
      <c r="H52">
        <v>355909</v>
      </c>
      <c r="I52" s="3" t="s">
        <v>67</v>
      </c>
      <c r="J52" s="3" t="s">
        <v>68</v>
      </c>
      <c r="K52">
        <v>17</v>
      </c>
      <c r="L52" s="3" t="s">
        <v>69</v>
      </c>
      <c r="M52">
        <v>41.880336654200001</v>
      </c>
      <c r="N52">
        <v>216.63667404099999</v>
      </c>
      <c r="O52">
        <v>173.825186183</v>
      </c>
      <c r="P52" s="4">
        <f t="shared" si="0"/>
        <v>144.11406562606666</v>
      </c>
      <c r="Q52" s="4">
        <f t="shared" si="1"/>
        <v>74.372967211542417</v>
      </c>
      <c r="R52" s="4">
        <f t="shared" si="2"/>
        <v>0.51607014824297759</v>
      </c>
      <c r="S52" t="s">
        <v>12</v>
      </c>
    </row>
    <row r="53" spans="1:19" x14ac:dyDescent="0.35">
      <c r="A53" t="s">
        <v>10</v>
      </c>
      <c r="B53">
        <v>224240</v>
      </c>
      <c r="C53">
        <v>224263</v>
      </c>
      <c r="D53" t="s">
        <v>195</v>
      </c>
      <c r="E53">
        <v>146.72294686353334</v>
      </c>
      <c r="F53" t="s">
        <v>13</v>
      </c>
      <c r="G53">
        <v>224240</v>
      </c>
      <c r="H53">
        <v>224263</v>
      </c>
      <c r="I53" s="3" t="s">
        <v>67</v>
      </c>
      <c r="J53" s="3" t="s">
        <v>68</v>
      </c>
      <c r="K53">
        <v>23</v>
      </c>
      <c r="L53" s="3" t="s">
        <v>69</v>
      </c>
      <c r="M53">
        <v>247.64025152100001</v>
      </c>
      <c r="N53">
        <v>64.049103629599998</v>
      </c>
      <c r="O53">
        <v>128.47948543999999</v>
      </c>
      <c r="P53" s="4">
        <f t="shared" si="0"/>
        <v>146.72294686353334</v>
      </c>
      <c r="Q53" s="4">
        <f t="shared" si="1"/>
        <v>76.052811955703703</v>
      </c>
      <c r="R53" s="4">
        <f t="shared" si="2"/>
        <v>0.51834299665777739</v>
      </c>
      <c r="S53" t="s">
        <v>12</v>
      </c>
    </row>
    <row r="54" spans="1:19" x14ac:dyDescent="0.35">
      <c r="A54" t="s">
        <v>10</v>
      </c>
      <c r="B54">
        <v>77937</v>
      </c>
      <c r="C54">
        <v>77960</v>
      </c>
      <c r="D54" t="s">
        <v>136</v>
      </c>
      <c r="E54">
        <v>148.63257354789999</v>
      </c>
      <c r="F54" t="s">
        <v>11</v>
      </c>
      <c r="G54">
        <v>77937</v>
      </c>
      <c r="H54">
        <v>77960</v>
      </c>
      <c r="I54" s="3" t="s">
        <v>67</v>
      </c>
      <c r="J54" s="3" t="s">
        <v>68</v>
      </c>
      <c r="K54">
        <v>23</v>
      </c>
      <c r="L54" s="3" t="s">
        <v>69</v>
      </c>
      <c r="M54">
        <v>92.865094320300003</v>
      </c>
      <c r="N54">
        <v>96.073655444400003</v>
      </c>
      <c r="O54">
        <v>256.95897087899999</v>
      </c>
      <c r="P54" s="4">
        <f t="shared" si="0"/>
        <v>148.63257354789999</v>
      </c>
      <c r="Q54" s="4">
        <f t="shared" si="1"/>
        <v>76.609529368842345</v>
      </c>
      <c r="R54" s="4">
        <f t="shared" si="2"/>
        <v>0.51542893687535662</v>
      </c>
      <c r="S54" t="s">
        <v>12</v>
      </c>
    </row>
    <row r="55" spans="1:19" x14ac:dyDescent="0.35">
      <c r="A55" t="s">
        <v>10</v>
      </c>
      <c r="B55">
        <v>293875</v>
      </c>
      <c r="C55">
        <v>293891</v>
      </c>
      <c r="D55" t="s">
        <v>247</v>
      </c>
      <c r="E55">
        <v>152.0048898046</v>
      </c>
      <c r="F55" t="s">
        <v>11</v>
      </c>
      <c r="G55">
        <v>293875</v>
      </c>
      <c r="H55">
        <v>293891</v>
      </c>
      <c r="I55" s="3" t="s">
        <v>67</v>
      </c>
      <c r="J55" s="3" t="s">
        <v>68</v>
      </c>
      <c r="K55">
        <v>16</v>
      </c>
      <c r="L55" s="3" t="s">
        <v>69</v>
      </c>
      <c r="M55">
        <v>133.49357308500001</v>
      </c>
      <c r="N55">
        <v>230.17646616900001</v>
      </c>
      <c r="O55">
        <v>92.344630159800005</v>
      </c>
      <c r="P55" s="4">
        <f t="shared" si="0"/>
        <v>152.0048898046</v>
      </c>
      <c r="Q55" s="4">
        <f t="shared" si="1"/>
        <v>57.77199661564282</v>
      </c>
      <c r="R55" s="4">
        <f t="shared" si="2"/>
        <v>0.38006669844573981</v>
      </c>
      <c r="S55" t="s">
        <v>12</v>
      </c>
    </row>
    <row r="56" spans="1:19" x14ac:dyDescent="0.35">
      <c r="A56" t="s">
        <v>10</v>
      </c>
      <c r="B56">
        <v>106242</v>
      </c>
      <c r="C56">
        <v>106265</v>
      </c>
      <c r="D56" t="s">
        <v>159</v>
      </c>
      <c r="E56">
        <v>157.04129067686665</v>
      </c>
      <c r="F56" t="s">
        <v>13</v>
      </c>
      <c r="G56">
        <v>106242</v>
      </c>
      <c r="H56">
        <v>106265</v>
      </c>
      <c r="I56" s="3" t="s">
        <v>67</v>
      </c>
      <c r="J56" s="3" t="s">
        <v>68</v>
      </c>
      <c r="K56">
        <v>23</v>
      </c>
      <c r="L56" s="3" t="s">
        <v>69</v>
      </c>
      <c r="M56">
        <v>278.59528296100001</v>
      </c>
      <c r="N56">
        <v>64.049103629599998</v>
      </c>
      <c r="O56">
        <v>128.47948543999999</v>
      </c>
      <c r="P56" s="4">
        <f t="shared" si="0"/>
        <v>157.04129067686665</v>
      </c>
      <c r="Q56" s="4">
        <f t="shared" si="1"/>
        <v>89.886403514720897</v>
      </c>
      <c r="R56" s="4">
        <f t="shared" si="2"/>
        <v>0.57237432988037606</v>
      </c>
      <c r="S56" t="s">
        <v>12</v>
      </c>
    </row>
    <row r="57" spans="1:19" x14ac:dyDescent="0.35">
      <c r="A57" t="s">
        <v>10</v>
      </c>
      <c r="B57">
        <v>196127</v>
      </c>
      <c r="C57">
        <v>196147</v>
      </c>
      <c r="D57" t="s">
        <v>183</v>
      </c>
      <c r="E57">
        <v>157.64871996933331</v>
      </c>
      <c r="F57" t="s">
        <v>11</v>
      </c>
      <c r="G57">
        <v>196127</v>
      </c>
      <c r="H57">
        <v>196147</v>
      </c>
      <c r="I57" s="3" t="s">
        <v>67</v>
      </c>
      <c r="J57" s="3" t="s">
        <v>68</v>
      </c>
      <c r="K57">
        <v>20</v>
      </c>
      <c r="L57" s="3" t="s">
        <v>69</v>
      </c>
      <c r="M57">
        <v>177.99143078099999</v>
      </c>
      <c r="N57">
        <v>184.14117293499999</v>
      </c>
      <c r="O57">
        <v>110.81355619199999</v>
      </c>
      <c r="P57" s="4">
        <f t="shared" si="0"/>
        <v>157.64871996933331</v>
      </c>
      <c r="Q57" s="4">
        <f t="shared" si="1"/>
        <v>33.212490187452097</v>
      </c>
      <c r="R57" s="4">
        <f t="shared" si="2"/>
        <v>0.21067402382913589</v>
      </c>
      <c r="S57" t="s">
        <v>12</v>
      </c>
    </row>
    <row r="58" spans="1:19" x14ac:dyDescent="0.35">
      <c r="A58" t="s">
        <v>10</v>
      </c>
      <c r="B58">
        <v>71440</v>
      </c>
      <c r="C58">
        <v>71463</v>
      </c>
      <c r="D58" t="s">
        <v>129</v>
      </c>
      <c r="E58">
        <v>158.20613059653334</v>
      </c>
      <c r="F58" t="s">
        <v>11</v>
      </c>
      <c r="G58">
        <v>71440</v>
      </c>
      <c r="H58">
        <v>71463</v>
      </c>
      <c r="I58" s="3" t="s">
        <v>67</v>
      </c>
      <c r="J58" s="3" t="s">
        <v>68</v>
      </c>
      <c r="K58">
        <v>23</v>
      </c>
      <c r="L58" s="3" t="s">
        <v>69</v>
      </c>
      <c r="M58">
        <v>185.73018864100001</v>
      </c>
      <c r="N58">
        <v>64.049103629599998</v>
      </c>
      <c r="O58">
        <v>224.839099519</v>
      </c>
      <c r="P58" s="4">
        <f t="shared" si="0"/>
        <v>158.20613059653334</v>
      </c>
      <c r="Q58" s="4">
        <f t="shared" si="1"/>
        <v>68.466712218199845</v>
      </c>
      <c r="R58" s="4">
        <f t="shared" si="2"/>
        <v>0.43276902077080515</v>
      </c>
      <c r="S58" t="s">
        <v>12</v>
      </c>
    </row>
    <row r="59" spans="1:19" x14ac:dyDescent="0.35">
      <c r="A59" t="s">
        <v>10</v>
      </c>
      <c r="B59">
        <v>329084</v>
      </c>
      <c r="C59">
        <v>329107</v>
      </c>
      <c r="D59" t="s">
        <v>266</v>
      </c>
      <c r="E59">
        <v>158.43554466123334</v>
      </c>
      <c r="F59" t="s">
        <v>13</v>
      </c>
      <c r="G59">
        <v>329084</v>
      </c>
      <c r="H59">
        <v>329107</v>
      </c>
      <c r="I59" s="3" t="s">
        <v>67</v>
      </c>
      <c r="J59" s="3" t="s">
        <v>68</v>
      </c>
      <c r="K59">
        <v>23</v>
      </c>
      <c r="L59" s="3" t="s">
        <v>69</v>
      </c>
      <c r="M59">
        <v>154.7751572</v>
      </c>
      <c r="N59">
        <v>224.17186270400001</v>
      </c>
      <c r="O59">
        <v>96.359614079699995</v>
      </c>
      <c r="P59" s="4">
        <f t="shared" si="0"/>
        <v>158.43554466123334</v>
      </c>
      <c r="Q59" s="4">
        <f t="shared" si="1"/>
        <v>52.243286981038544</v>
      </c>
      <c r="R59" s="4">
        <f t="shared" si="2"/>
        <v>0.32974473684390121</v>
      </c>
      <c r="S59" t="s">
        <v>12</v>
      </c>
    </row>
    <row r="60" spans="1:19" x14ac:dyDescent="0.35">
      <c r="A60" t="s">
        <v>10</v>
      </c>
      <c r="B60">
        <v>81633</v>
      </c>
      <c r="C60">
        <v>81649</v>
      </c>
      <c r="D60" t="s">
        <v>142</v>
      </c>
      <c r="E60">
        <v>167.44133544666667</v>
      </c>
      <c r="F60" t="s">
        <v>11</v>
      </c>
      <c r="G60">
        <v>81633</v>
      </c>
      <c r="H60">
        <v>81649</v>
      </c>
      <c r="I60" s="3" t="s">
        <v>67</v>
      </c>
      <c r="J60" s="3" t="s">
        <v>68</v>
      </c>
      <c r="K60">
        <v>16</v>
      </c>
      <c r="L60" s="3" t="s">
        <v>69</v>
      </c>
      <c r="M60">
        <v>133.49357308500001</v>
      </c>
      <c r="N60">
        <v>184.14117293499999</v>
      </c>
      <c r="O60">
        <v>184.68926031999999</v>
      </c>
      <c r="P60" s="4">
        <f t="shared" si="0"/>
        <v>167.44133544666667</v>
      </c>
      <c r="Q60" s="4">
        <f t="shared" si="1"/>
        <v>24.005735800269917</v>
      </c>
      <c r="R60" s="4">
        <f t="shared" si="2"/>
        <v>0.14336803834150147</v>
      </c>
      <c r="S60" t="s">
        <v>12</v>
      </c>
    </row>
    <row r="61" spans="1:19" x14ac:dyDescent="0.35">
      <c r="A61" t="s">
        <v>10</v>
      </c>
      <c r="B61">
        <v>301139</v>
      </c>
      <c r="C61">
        <v>301182</v>
      </c>
      <c r="D61" t="s">
        <v>253</v>
      </c>
      <c r="E61">
        <v>169.78184673733332</v>
      </c>
      <c r="F61" t="s">
        <v>13</v>
      </c>
      <c r="G61">
        <v>301139</v>
      </c>
      <c r="H61">
        <v>301182</v>
      </c>
      <c r="I61" s="3" t="s">
        <v>67</v>
      </c>
      <c r="J61" s="3" t="s">
        <v>68</v>
      </c>
      <c r="K61">
        <v>43</v>
      </c>
      <c r="L61" s="3" t="s">
        <v>69</v>
      </c>
      <c r="M61">
        <v>149.01608158400001</v>
      </c>
      <c r="N61">
        <v>154.164702922</v>
      </c>
      <c r="O61">
        <v>206.16475570599999</v>
      </c>
      <c r="P61" s="4">
        <f t="shared" si="0"/>
        <v>169.78184673733332</v>
      </c>
      <c r="Q61" s="4">
        <f t="shared" si="1"/>
        <v>25.812324242336281</v>
      </c>
      <c r="R61" s="4">
        <f t="shared" si="2"/>
        <v>0.15203229755340156</v>
      </c>
      <c r="S61" t="s">
        <v>12</v>
      </c>
    </row>
    <row r="62" spans="1:19" x14ac:dyDescent="0.35">
      <c r="A62" t="s">
        <v>10</v>
      </c>
      <c r="B62">
        <v>333184</v>
      </c>
      <c r="C62">
        <v>333215</v>
      </c>
      <c r="D62" t="s">
        <v>275</v>
      </c>
      <c r="E62">
        <v>172.60173746033334</v>
      </c>
      <c r="F62" t="s">
        <v>11</v>
      </c>
      <c r="G62">
        <v>333184</v>
      </c>
      <c r="H62">
        <v>333215</v>
      </c>
      <c r="I62" s="3" t="s">
        <v>67</v>
      </c>
      <c r="J62" s="3" t="s">
        <v>68</v>
      </c>
      <c r="K62">
        <v>31</v>
      </c>
      <c r="L62" s="3" t="s">
        <v>69</v>
      </c>
      <c r="M62">
        <v>160.76645360800001</v>
      </c>
      <c r="N62">
        <v>142.560908079</v>
      </c>
      <c r="O62">
        <v>214.47785069400001</v>
      </c>
      <c r="P62" s="4">
        <f t="shared" si="0"/>
        <v>172.60173746033334</v>
      </c>
      <c r="Q62" s="4">
        <f t="shared" si="1"/>
        <v>30.529407862706968</v>
      </c>
      <c r="R62" s="4">
        <f t="shared" si="2"/>
        <v>0.17687775518321835</v>
      </c>
      <c r="S62" t="s">
        <v>12</v>
      </c>
    </row>
    <row r="63" spans="1:19" x14ac:dyDescent="0.35">
      <c r="A63" t="s">
        <v>10</v>
      </c>
      <c r="B63">
        <v>99371</v>
      </c>
      <c r="C63">
        <v>99399</v>
      </c>
      <c r="D63" t="s">
        <v>154</v>
      </c>
      <c r="E63">
        <v>174.67670685403334</v>
      </c>
      <c r="F63" t="s">
        <v>11</v>
      </c>
      <c r="G63">
        <v>99371</v>
      </c>
      <c r="H63">
        <v>99399</v>
      </c>
      <c r="I63" s="3" t="s">
        <v>67</v>
      </c>
      <c r="J63" s="3" t="s">
        <v>68</v>
      </c>
      <c r="K63">
        <v>28</v>
      </c>
      <c r="L63" s="3" t="s">
        <v>69</v>
      </c>
      <c r="M63">
        <v>76.282041763099997</v>
      </c>
      <c r="N63">
        <v>263.05881847900002</v>
      </c>
      <c r="O63">
        <v>184.68926031999999</v>
      </c>
      <c r="P63" s="4">
        <f t="shared" si="0"/>
        <v>174.67670685403334</v>
      </c>
      <c r="Q63" s="4">
        <f t="shared" si="1"/>
        <v>76.579281359372587</v>
      </c>
      <c r="R63" s="4">
        <f t="shared" si="2"/>
        <v>0.43840579971183691</v>
      </c>
      <c r="S63" t="s">
        <v>12</v>
      </c>
    </row>
    <row r="64" spans="1:19" x14ac:dyDescent="0.35">
      <c r="A64" t="s">
        <v>10</v>
      </c>
      <c r="B64">
        <v>277516</v>
      </c>
      <c r="C64">
        <v>277539</v>
      </c>
      <c r="D64" t="s">
        <v>237</v>
      </c>
      <c r="E64">
        <v>178.8428182232</v>
      </c>
      <c r="F64" t="s">
        <v>11</v>
      </c>
      <c r="G64">
        <v>277516</v>
      </c>
      <c r="H64">
        <v>277539</v>
      </c>
      <c r="I64" s="3" t="s">
        <v>67</v>
      </c>
      <c r="J64" s="3" t="s">
        <v>68</v>
      </c>
      <c r="K64">
        <v>23</v>
      </c>
      <c r="L64" s="3" t="s">
        <v>69</v>
      </c>
      <c r="M64">
        <v>247.64025152100001</v>
      </c>
      <c r="N64">
        <v>64.049103629599998</v>
      </c>
      <c r="O64">
        <v>224.839099519</v>
      </c>
      <c r="P64" s="4">
        <f t="shared" si="0"/>
        <v>178.8428182232</v>
      </c>
      <c r="Q64" s="4">
        <f t="shared" si="1"/>
        <v>81.703410030027669</v>
      </c>
      <c r="R64" s="4">
        <f t="shared" si="2"/>
        <v>0.45684479165419944</v>
      </c>
      <c r="S64" t="s">
        <v>12</v>
      </c>
    </row>
    <row r="65" spans="1:19" x14ac:dyDescent="0.35">
      <c r="A65" t="s">
        <v>10</v>
      </c>
      <c r="B65">
        <v>85158</v>
      </c>
      <c r="C65">
        <v>85181</v>
      </c>
      <c r="D65" t="s">
        <v>143</v>
      </c>
      <c r="E65">
        <v>179.10400546999998</v>
      </c>
      <c r="F65" t="s">
        <v>11</v>
      </c>
      <c r="G65">
        <v>85158</v>
      </c>
      <c r="H65">
        <v>85181</v>
      </c>
      <c r="I65" s="3" t="s">
        <v>67</v>
      </c>
      <c r="J65" s="3" t="s">
        <v>68</v>
      </c>
      <c r="K65">
        <v>23</v>
      </c>
      <c r="L65" s="3" t="s">
        <v>69</v>
      </c>
      <c r="M65">
        <v>216.68522008100001</v>
      </c>
      <c r="N65">
        <v>192.14731088900001</v>
      </c>
      <c r="O65">
        <v>128.47948543999999</v>
      </c>
      <c r="P65" s="4">
        <f t="shared" si="0"/>
        <v>179.10400546999998</v>
      </c>
      <c r="Q65" s="4">
        <f t="shared" si="1"/>
        <v>37.172200796469951</v>
      </c>
      <c r="R65" s="4">
        <f t="shared" si="2"/>
        <v>0.20754533489590948</v>
      </c>
      <c r="S65" t="s">
        <v>12</v>
      </c>
    </row>
    <row r="66" spans="1:19" x14ac:dyDescent="0.35">
      <c r="A66" t="s">
        <v>10</v>
      </c>
      <c r="B66">
        <v>54443</v>
      </c>
      <c r="C66">
        <v>54466</v>
      </c>
      <c r="D66" t="s">
        <v>122</v>
      </c>
      <c r="E66">
        <v>179.16755183299998</v>
      </c>
      <c r="F66" t="s">
        <v>13</v>
      </c>
      <c r="G66">
        <v>54443</v>
      </c>
      <c r="H66">
        <v>54466</v>
      </c>
      <c r="I66" s="3" t="s">
        <v>67</v>
      </c>
      <c r="J66" s="3" t="s">
        <v>68</v>
      </c>
      <c r="K66">
        <v>23</v>
      </c>
      <c r="L66" s="3" t="s">
        <v>69</v>
      </c>
      <c r="M66">
        <v>216.68522008100001</v>
      </c>
      <c r="N66">
        <v>128.09820725899999</v>
      </c>
      <c r="O66">
        <v>192.71922815900001</v>
      </c>
      <c r="P66" s="4">
        <f t="shared" ref="P66:P129" si="3">AVERAGE(M66:O66)</f>
        <v>179.16755183299998</v>
      </c>
      <c r="Q66" s="4">
        <f t="shared" ref="Q66:Q129" si="4">_xlfn.STDEV.P(M66:O66)</f>
        <v>37.413461557883302</v>
      </c>
      <c r="R66" s="4">
        <f t="shared" ref="R66:R129" si="5">Q66/P66</f>
        <v>0.20881828866398733</v>
      </c>
      <c r="S66" t="s">
        <v>12</v>
      </c>
    </row>
    <row r="67" spans="1:19" x14ac:dyDescent="0.35">
      <c r="A67" t="s">
        <v>10</v>
      </c>
      <c r="B67">
        <v>77339</v>
      </c>
      <c r="C67">
        <v>77362</v>
      </c>
      <c r="D67" t="s">
        <v>134</v>
      </c>
      <c r="E67">
        <v>179.49228544333334</v>
      </c>
      <c r="F67" t="s">
        <v>13</v>
      </c>
      <c r="G67">
        <v>77339</v>
      </c>
      <c r="H67">
        <v>77362</v>
      </c>
      <c r="I67" s="3" t="s">
        <v>67</v>
      </c>
      <c r="J67" s="3" t="s">
        <v>68</v>
      </c>
      <c r="K67">
        <v>23</v>
      </c>
      <c r="L67" s="3" t="s">
        <v>69</v>
      </c>
      <c r="M67">
        <v>185.73018864100001</v>
      </c>
      <c r="N67">
        <v>192.14731088900001</v>
      </c>
      <c r="O67">
        <v>160.59935680000001</v>
      </c>
      <c r="P67" s="4">
        <f t="shared" si="3"/>
        <v>179.49228544333334</v>
      </c>
      <c r="Q67" s="4">
        <f t="shared" si="4"/>
        <v>13.613765803480144</v>
      </c>
      <c r="R67" s="4">
        <f t="shared" si="5"/>
        <v>7.5845966136400225E-2</v>
      </c>
      <c r="S67" t="s">
        <v>12</v>
      </c>
    </row>
    <row r="68" spans="1:19" x14ac:dyDescent="0.35">
      <c r="A68" t="s">
        <v>10</v>
      </c>
      <c r="B68">
        <v>314453</v>
      </c>
      <c r="C68">
        <v>314476</v>
      </c>
      <c r="D68" t="s">
        <v>256</v>
      </c>
      <c r="E68">
        <v>179.91233859766666</v>
      </c>
      <c r="F68" t="s">
        <v>11</v>
      </c>
      <c r="G68">
        <v>314453</v>
      </c>
      <c r="H68">
        <v>314476</v>
      </c>
      <c r="I68" s="3" t="s">
        <v>67</v>
      </c>
      <c r="J68" s="3" t="s">
        <v>68</v>
      </c>
      <c r="K68">
        <v>23</v>
      </c>
      <c r="L68" s="3" t="s">
        <v>69</v>
      </c>
      <c r="M68">
        <v>154.7751572</v>
      </c>
      <c r="N68">
        <v>160.12275907399999</v>
      </c>
      <c r="O68">
        <v>224.839099519</v>
      </c>
      <c r="P68" s="4">
        <f t="shared" si="3"/>
        <v>179.91233859766666</v>
      </c>
      <c r="Q68" s="4">
        <f t="shared" si="4"/>
        <v>31.842943714557382</v>
      </c>
      <c r="R68" s="4">
        <f t="shared" si="5"/>
        <v>0.17699143906837284</v>
      </c>
      <c r="S68" t="s">
        <v>12</v>
      </c>
    </row>
    <row r="69" spans="1:19" x14ac:dyDescent="0.35">
      <c r="A69" t="s">
        <v>10</v>
      </c>
      <c r="B69">
        <v>362821</v>
      </c>
      <c r="C69">
        <v>362856</v>
      </c>
      <c r="D69" t="s">
        <v>289</v>
      </c>
      <c r="E69">
        <v>180.74291505933331</v>
      </c>
      <c r="F69" t="s">
        <v>13</v>
      </c>
      <c r="G69">
        <v>362821</v>
      </c>
      <c r="H69">
        <v>362856</v>
      </c>
      <c r="I69" s="3" t="s">
        <v>67</v>
      </c>
      <c r="J69" s="3" t="s">
        <v>68</v>
      </c>
      <c r="K69">
        <v>35</v>
      </c>
      <c r="L69" s="3" t="s">
        <v>69</v>
      </c>
      <c r="M69">
        <v>162.73502242800001</v>
      </c>
      <c r="N69">
        <v>147.31293834799999</v>
      </c>
      <c r="O69">
        <v>232.180784402</v>
      </c>
      <c r="P69" s="4">
        <f t="shared" si="3"/>
        <v>180.74291505933331</v>
      </c>
      <c r="Q69" s="4">
        <f t="shared" si="4"/>
        <v>36.912969457248039</v>
      </c>
      <c r="R69" s="4">
        <f t="shared" si="5"/>
        <v>0.20422913642357957</v>
      </c>
      <c r="S69" t="s">
        <v>12</v>
      </c>
    </row>
    <row r="70" spans="1:19" x14ac:dyDescent="0.35">
      <c r="A70" t="s">
        <v>10</v>
      </c>
      <c r="B70">
        <v>363677</v>
      </c>
      <c r="C70">
        <v>363693</v>
      </c>
      <c r="D70" t="s">
        <v>291</v>
      </c>
      <c r="E70">
        <v>182.96912898593334</v>
      </c>
      <c r="F70" t="s">
        <v>13</v>
      </c>
      <c r="G70">
        <v>363677</v>
      </c>
      <c r="H70">
        <v>363693</v>
      </c>
      <c r="I70" s="3" t="s">
        <v>67</v>
      </c>
      <c r="J70" s="3" t="s">
        <v>68</v>
      </c>
      <c r="K70">
        <v>16</v>
      </c>
      <c r="L70" s="3" t="s">
        <v>69</v>
      </c>
      <c r="M70">
        <v>133.49357308500001</v>
      </c>
      <c r="N70">
        <v>46.035293233799997</v>
      </c>
      <c r="O70">
        <v>369.37852063899999</v>
      </c>
      <c r="P70" s="4">
        <f t="shared" si="3"/>
        <v>182.96912898593334</v>
      </c>
      <c r="Q70" s="4">
        <f t="shared" si="4"/>
        <v>136.56154571225997</v>
      </c>
      <c r="R70" s="4">
        <f t="shared" si="5"/>
        <v>0.74636386186633052</v>
      </c>
      <c r="S70" t="s">
        <v>12</v>
      </c>
    </row>
    <row r="71" spans="1:19" x14ac:dyDescent="0.35">
      <c r="A71" t="s">
        <v>10</v>
      </c>
      <c r="B71">
        <v>338393</v>
      </c>
      <c r="C71">
        <v>338414</v>
      </c>
      <c r="D71" t="s">
        <v>280</v>
      </c>
      <c r="E71">
        <v>184.82568737699998</v>
      </c>
      <c r="F71" t="s">
        <v>13</v>
      </c>
      <c r="G71">
        <v>338393</v>
      </c>
      <c r="H71">
        <v>338414</v>
      </c>
      <c r="I71" s="3" t="s">
        <v>67</v>
      </c>
      <c r="J71" s="3" t="s">
        <v>68</v>
      </c>
      <c r="K71">
        <v>21</v>
      </c>
      <c r="L71" s="3" t="s">
        <v>69</v>
      </c>
      <c r="M71">
        <v>203.418778035</v>
      </c>
      <c r="N71">
        <v>245.52156391299999</v>
      </c>
      <c r="O71">
        <v>105.536720183</v>
      </c>
      <c r="P71" s="4">
        <f t="shared" si="3"/>
        <v>184.82568737699998</v>
      </c>
      <c r="Q71" s="4">
        <f t="shared" si="4"/>
        <v>58.641375516442295</v>
      </c>
      <c r="R71" s="4">
        <f t="shared" si="5"/>
        <v>0.31727935845209643</v>
      </c>
      <c r="S71" t="s">
        <v>12</v>
      </c>
    </row>
    <row r="72" spans="1:19" x14ac:dyDescent="0.35">
      <c r="A72" t="s">
        <v>10</v>
      </c>
      <c r="B72">
        <v>144058</v>
      </c>
      <c r="C72">
        <v>144088</v>
      </c>
      <c r="D72" t="s">
        <v>170</v>
      </c>
      <c r="E72">
        <v>186.21714008733332</v>
      </c>
      <c r="F72" t="s">
        <v>11</v>
      </c>
      <c r="G72">
        <v>144058</v>
      </c>
      <c r="H72">
        <v>144088</v>
      </c>
      <c r="I72" s="3" t="s">
        <v>67</v>
      </c>
      <c r="J72" s="3" t="s">
        <v>68</v>
      </c>
      <c r="K72">
        <v>30</v>
      </c>
      <c r="L72" s="3" t="s">
        <v>69</v>
      </c>
      <c r="M72">
        <v>189.85752616600001</v>
      </c>
      <c r="N72">
        <v>196.417251131</v>
      </c>
      <c r="O72">
        <v>172.376642965</v>
      </c>
      <c r="P72" s="4">
        <f t="shared" si="3"/>
        <v>186.21714008733332</v>
      </c>
      <c r="Q72" s="4">
        <f t="shared" si="4"/>
        <v>10.146494250038584</v>
      </c>
      <c r="R72" s="4">
        <f t="shared" si="5"/>
        <v>5.4487434643663929E-2</v>
      </c>
      <c r="S72" t="s">
        <v>12</v>
      </c>
    </row>
    <row r="73" spans="1:19" x14ac:dyDescent="0.35">
      <c r="A73" t="s">
        <v>10</v>
      </c>
      <c r="B73">
        <v>278705</v>
      </c>
      <c r="C73">
        <v>278728</v>
      </c>
      <c r="D73" t="s">
        <v>239</v>
      </c>
      <c r="E73">
        <v>190.42832329426668</v>
      </c>
      <c r="F73" t="s">
        <v>13</v>
      </c>
      <c r="G73">
        <v>278705</v>
      </c>
      <c r="H73">
        <v>278728</v>
      </c>
      <c r="I73" s="3" t="s">
        <v>67</v>
      </c>
      <c r="J73" s="3" t="s">
        <v>68</v>
      </c>
      <c r="K73">
        <v>23</v>
      </c>
      <c r="L73" s="3" t="s">
        <v>69</v>
      </c>
      <c r="M73">
        <v>154.7751572</v>
      </c>
      <c r="N73">
        <v>352.27006996300003</v>
      </c>
      <c r="O73">
        <v>64.239742719800006</v>
      </c>
      <c r="P73" s="4">
        <f t="shared" si="3"/>
        <v>190.42832329426668</v>
      </c>
      <c r="Q73" s="4">
        <f t="shared" si="4"/>
        <v>120.26007523243182</v>
      </c>
      <c r="R73" s="4">
        <f t="shared" si="5"/>
        <v>0.63152409868460224</v>
      </c>
      <c r="S73" t="s">
        <v>12</v>
      </c>
    </row>
    <row r="74" spans="1:19" x14ac:dyDescent="0.35">
      <c r="A74" t="s">
        <v>10</v>
      </c>
      <c r="B74">
        <v>41880</v>
      </c>
      <c r="C74">
        <v>41913</v>
      </c>
      <c r="D74" t="s">
        <v>112</v>
      </c>
      <c r="E74">
        <v>204.771370058</v>
      </c>
      <c r="F74" t="s">
        <v>13</v>
      </c>
      <c r="G74">
        <v>41880</v>
      </c>
      <c r="H74">
        <v>41913</v>
      </c>
      <c r="I74" s="3" t="s">
        <v>67</v>
      </c>
      <c r="J74" s="3" t="s">
        <v>68</v>
      </c>
      <c r="K74">
        <v>33</v>
      </c>
      <c r="L74" s="3" t="s">
        <v>69</v>
      </c>
      <c r="M74">
        <v>323.62078323700001</v>
      </c>
      <c r="N74">
        <v>111.60071087</v>
      </c>
      <c r="O74">
        <v>179.09261606699999</v>
      </c>
      <c r="P74" s="4">
        <f t="shared" si="3"/>
        <v>204.771370058</v>
      </c>
      <c r="Q74" s="4">
        <f t="shared" si="4"/>
        <v>88.440852462817247</v>
      </c>
      <c r="R74" s="4">
        <f t="shared" si="5"/>
        <v>0.43190047728726444</v>
      </c>
      <c r="S74" t="s">
        <v>12</v>
      </c>
    </row>
    <row r="75" spans="1:19" x14ac:dyDescent="0.35">
      <c r="A75" t="s">
        <v>10</v>
      </c>
      <c r="B75">
        <v>292322</v>
      </c>
      <c r="C75">
        <v>292361</v>
      </c>
      <c r="D75" t="s">
        <v>246</v>
      </c>
      <c r="E75">
        <v>205.89013406200002</v>
      </c>
      <c r="F75" t="s">
        <v>13</v>
      </c>
      <c r="G75">
        <v>292322</v>
      </c>
      <c r="H75">
        <v>292361</v>
      </c>
      <c r="I75" s="3" t="s">
        <v>67</v>
      </c>
      <c r="J75" s="3" t="s">
        <v>68</v>
      </c>
      <c r="K75">
        <v>39</v>
      </c>
      <c r="L75" s="3" t="s">
        <v>69</v>
      </c>
      <c r="M75">
        <v>182.55531362100001</v>
      </c>
      <c r="N75">
        <v>188.86274147200001</v>
      </c>
      <c r="O75">
        <v>246.252347093</v>
      </c>
      <c r="P75" s="4">
        <f t="shared" si="3"/>
        <v>205.89013406200002</v>
      </c>
      <c r="Q75" s="4">
        <f t="shared" si="4"/>
        <v>28.656320909399696</v>
      </c>
      <c r="R75" s="4">
        <f t="shared" si="5"/>
        <v>0.13918258414835152</v>
      </c>
      <c r="S75" t="s">
        <v>12</v>
      </c>
    </row>
    <row r="76" spans="1:19" x14ac:dyDescent="0.35">
      <c r="A76" t="s">
        <v>10</v>
      </c>
      <c r="B76">
        <v>31772</v>
      </c>
      <c r="C76">
        <v>31793</v>
      </c>
      <c r="D76" t="s">
        <v>103</v>
      </c>
      <c r="E76">
        <v>208.80794847733333</v>
      </c>
      <c r="F76" t="s">
        <v>13</v>
      </c>
      <c r="G76">
        <v>31772</v>
      </c>
      <c r="H76">
        <v>31793</v>
      </c>
      <c r="I76" s="3" t="s">
        <v>67</v>
      </c>
      <c r="J76" s="3" t="s">
        <v>68</v>
      </c>
      <c r="K76">
        <v>21</v>
      </c>
      <c r="L76" s="3" t="s">
        <v>69</v>
      </c>
      <c r="M76">
        <v>169.51564836200001</v>
      </c>
      <c r="N76">
        <v>140.29803652199999</v>
      </c>
      <c r="O76">
        <v>316.61016054800001</v>
      </c>
      <c r="P76" s="4">
        <f t="shared" si="3"/>
        <v>208.80794847733333</v>
      </c>
      <c r="Q76" s="4">
        <f t="shared" si="4"/>
        <v>77.155275930662313</v>
      </c>
      <c r="R76" s="4">
        <f t="shared" si="5"/>
        <v>0.36950353898543153</v>
      </c>
      <c r="S76" t="s">
        <v>12</v>
      </c>
    </row>
    <row r="77" spans="1:19" x14ac:dyDescent="0.35">
      <c r="A77" t="s">
        <v>10</v>
      </c>
      <c r="B77">
        <v>232958</v>
      </c>
      <c r="C77">
        <v>232981</v>
      </c>
      <c r="D77" t="s">
        <v>203</v>
      </c>
      <c r="E77">
        <v>210.41554370166668</v>
      </c>
      <c r="F77" t="s">
        <v>11</v>
      </c>
      <c r="G77">
        <v>232958</v>
      </c>
      <c r="H77">
        <v>232981</v>
      </c>
      <c r="I77" s="3" t="s">
        <v>67</v>
      </c>
      <c r="J77" s="3" t="s">
        <v>68</v>
      </c>
      <c r="K77">
        <v>23</v>
      </c>
      <c r="L77" s="3" t="s">
        <v>69</v>
      </c>
      <c r="M77">
        <v>278.59528296100001</v>
      </c>
      <c r="N77">
        <v>224.17186270400001</v>
      </c>
      <c r="O77">
        <v>128.47948543999999</v>
      </c>
      <c r="P77" s="4">
        <f t="shared" si="3"/>
        <v>210.41554370166668</v>
      </c>
      <c r="Q77" s="4">
        <f t="shared" si="4"/>
        <v>62.051674168722407</v>
      </c>
      <c r="R77" s="4">
        <f t="shared" si="5"/>
        <v>0.29490061939863665</v>
      </c>
      <c r="S77" t="s">
        <v>12</v>
      </c>
    </row>
    <row r="78" spans="1:19" x14ac:dyDescent="0.35">
      <c r="A78" t="s">
        <v>10</v>
      </c>
      <c r="B78">
        <v>364339</v>
      </c>
      <c r="C78">
        <v>364361</v>
      </c>
      <c r="D78" t="s">
        <v>292</v>
      </c>
      <c r="E78">
        <v>210.44353176200002</v>
      </c>
      <c r="F78" t="s">
        <v>13</v>
      </c>
      <c r="G78">
        <v>364339</v>
      </c>
      <c r="H78">
        <v>364361</v>
      </c>
      <c r="I78" s="3" t="s">
        <v>67</v>
      </c>
      <c r="J78" s="3" t="s">
        <v>68</v>
      </c>
      <c r="K78">
        <v>22</v>
      </c>
      <c r="L78" s="3" t="s">
        <v>69</v>
      </c>
      <c r="M78">
        <v>161.810391619</v>
      </c>
      <c r="N78">
        <v>200.88127956599999</v>
      </c>
      <c r="O78">
        <v>268.63892410099999</v>
      </c>
      <c r="P78" s="4">
        <f t="shared" si="3"/>
        <v>210.44353176200002</v>
      </c>
      <c r="Q78" s="4">
        <f t="shared" si="4"/>
        <v>44.133595203347006</v>
      </c>
      <c r="R78" s="4">
        <f t="shared" si="5"/>
        <v>0.20971704301778996</v>
      </c>
      <c r="S78" t="s">
        <v>12</v>
      </c>
    </row>
    <row r="79" spans="1:19" x14ac:dyDescent="0.35">
      <c r="A79" t="s">
        <v>10</v>
      </c>
      <c r="B79">
        <v>106351</v>
      </c>
      <c r="C79">
        <v>106374</v>
      </c>
      <c r="D79" t="s">
        <v>160</v>
      </c>
      <c r="E79">
        <v>212.26162402233331</v>
      </c>
      <c r="F79" t="s">
        <v>11</v>
      </c>
      <c r="G79">
        <v>106351</v>
      </c>
      <c r="H79">
        <v>106374</v>
      </c>
      <c r="I79" s="3" t="s">
        <v>67</v>
      </c>
      <c r="J79" s="3" t="s">
        <v>68</v>
      </c>
      <c r="K79">
        <v>23</v>
      </c>
      <c r="L79" s="3" t="s">
        <v>69</v>
      </c>
      <c r="M79">
        <v>123.82012576</v>
      </c>
      <c r="N79">
        <v>320.24551814799997</v>
      </c>
      <c r="O79">
        <v>192.71922815900001</v>
      </c>
      <c r="P79" s="4">
        <f t="shared" si="3"/>
        <v>212.26162402233331</v>
      </c>
      <c r="Q79" s="4">
        <f t="shared" si="4"/>
        <v>81.37224187135061</v>
      </c>
      <c r="R79" s="4">
        <f t="shared" si="5"/>
        <v>0.38335823654486384</v>
      </c>
      <c r="S79" t="s">
        <v>12</v>
      </c>
    </row>
    <row r="80" spans="1:19" x14ac:dyDescent="0.35">
      <c r="A80" t="s">
        <v>10</v>
      </c>
      <c r="B80">
        <v>28392</v>
      </c>
      <c r="C80">
        <v>28422</v>
      </c>
      <c r="D80" t="s">
        <v>99</v>
      </c>
      <c r="E80">
        <v>219.597430113</v>
      </c>
      <c r="F80" t="s">
        <v>13</v>
      </c>
      <c r="G80">
        <v>28392</v>
      </c>
      <c r="H80">
        <v>28422</v>
      </c>
      <c r="I80" s="3" t="s">
        <v>67</v>
      </c>
      <c r="J80" s="3" t="s">
        <v>68</v>
      </c>
      <c r="K80">
        <v>30</v>
      </c>
      <c r="L80" s="3" t="s">
        <v>69</v>
      </c>
      <c r="M80">
        <v>142.393144624</v>
      </c>
      <c r="N80">
        <v>245.52156391299999</v>
      </c>
      <c r="O80">
        <v>270.87758180200001</v>
      </c>
      <c r="P80" s="4">
        <f t="shared" si="3"/>
        <v>219.597430113</v>
      </c>
      <c r="Q80" s="4">
        <f t="shared" si="4"/>
        <v>55.564426174769252</v>
      </c>
      <c r="R80" s="4">
        <f t="shared" si="5"/>
        <v>0.25302858119139654</v>
      </c>
      <c r="S80" t="s">
        <v>12</v>
      </c>
    </row>
    <row r="81" spans="1:19" x14ac:dyDescent="0.35">
      <c r="A81" t="s">
        <v>10</v>
      </c>
      <c r="B81">
        <v>81289</v>
      </c>
      <c r="C81">
        <v>81312</v>
      </c>
      <c r="D81" t="s">
        <v>141</v>
      </c>
      <c r="E81">
        <v>220.73388751499999</v>
      </c>
      <c r="F81" t="s">
        <v>11</v>
      </c>
      <c r="G81">
        <v>81289</v>
      </c>
      <c r="H81">
        <v>81312</v>
      </c>
      <c r="I81" s="3" t="s">
        <v>67</v>
      </c>
      <c r="J81" s="3" t="s">
        <v>68</v>
      </c>
      <c r="K81">
        <v>23</v>
      </c>
      <c r="L81" s="3" t="s">
        <v>69</v>
      </c>
      <c r="M81">
        <v>309.55031440099998</v>
      </c>
      <c r="N81">
        <v>224.17186270400001</v>
      </c>
      <c r="O81">
        <v>128.47948543999999</v>
      </c>
      <c r="P81" s="4">
        <f t="shared" si="3"/>
        <v>220.73388751499999</v>
      </c>
      <c r="Q81" s="4">
        <f t="shared" si="4"/>
        <v>73.961819115027509</v>
      </c>
      <c r="R81" s="4">
        <f t="shared" si="5"/>
        <v>0.33507233505322753</v>
      </c>
      <c r="S81" t="s">
        <v>12</v>
      </c>
    </row>
    <row r="82" spans="1:19" x14ac:dyDescent="0.35">
      <c r="A82" t="s">
        <v>10</v>
      </c>
      <c r="B82">
        <v>74083</v>
      </c>
      <c r="C82">
        <v>74106</v>
      </c>
      <c r="D82" t="s">
        <v>132</v>
      </c>
      <c r="E82">
        <v>222.675287381</v>
      </c>
      <c r="F82" t="s">
        <v>13</v>
      </c>
      <c r="G82">
        <v>74083</v>
      </c>
      <c r="H82">
        <v>74106</v>
      </c>
      <c r="I82" s="3" t="s">
        <v>67</v>
      </c>
      <c r="J82" s="3" t="s">
        <v>68</v>
      </c>
      <c r="K82">
        <v>23</v>
      </c>
      <c r="L82" s="3" t="s">
        <v>69</v>
      </c>
      <c r="M82">
        <v>154.7751572</v>
      </c>
      <c r="N82">
        <v>224.17186270400001</v>
      </c>
      <c r="O82">
        <v>289.07884223899998</v>
      </c>
      <c r="P82" s="4">
        <f t="shared" si="3"/>
        <v>222.675287381</v>
      </c>
      <c r="Q82" s="4">
        <f t="shared" si="4"/>
        <v>54.839461199862086</v>
      </c>
      <c r="R82" s="4">
        <f t="shared" si="5"/>
        <v>0.24627547064093885</v>
      </c>
      <c r="S82" t="s">
        <v>12</v>
      </c>
    </row>
    <row r="83" spans="1:19" x14ac:dyDescent="0.35">
      <c r="A83" t="s">
        <v>10</v>
      </c>
      <c r="B83">
        <v>226125</v>
      </c>
      <c r="C83">
        <v>226148</v>
      </c>
      <c r="D83" t="s">
        <v>196</v>
      </c>
      <c r="E83">
        <v>223.06356735433329</v>
      </c>
      <c r="F83" t="s">
        <v>11</v>
      </c>
      <c r="G83">
        <v>226125</v>
      </c>
      <c r="H83">
        <v>226148</v>
      </c>
      <c r="I83" s="3" t="s">
        <v>67</v>
      </c>
      <c r="J83" s="3" t="s">
        <v>68</v>
      </c>
      <c r="K83">
        <v>23</v>
      </c>
      <c r="L83" s="3" t="s">
        <v>69</v>
      </c>
      <c r="M83">
        <v>123.82012576</v>
      </c>
      <c r="N83">
        <v>224.17186270400001</v>
      </c>
      <c r="O83">
        <v>321.19871359899997</v>
      </c>
      <c r="P83" s="4">
        <f t="shared" si="3"/>
        <v>223.06356735433329</v>
      </c>
      <c r="Q83" s="4">
        <f t="shared" si="4"/>
        <v>80.583281861132363</v>
      </c>
      <c r="R83" s="4">
        <f t="shared" si="5"/>
        <v>0.36125703007845728</v>
      </c>
      <c r="S83" t="s">
        <v>12</v>
      </c>
    </row>
    <row r="84" spans="1:19" x14ac:dyDescent="0.35">
      <c r="A84" t="s">
        <v>10</v>
      </c>
      <c r="B84">
        <v>257189</v>
      </c>
      <c r="C84">
        <v>257205</v>
      </c>
      <c r="D84" t="s">
        <v>217</v>
      </c>
      <c r="E84">
        <v>228.40059580966667</v>
      </c>
      <c r="F84" t="s">
        <v>11</v>
      </c>
      <c r="G84">
        <v>257189</v>
      </c>
      <c r="H84">
        <v>257205</v>
      </c>
      <c r="I84" s="3" t="s">
        <v>67</v>
      </c>
      <c r="J84" s="3" t="s">
        <v>68</v>
      </c>
      <c r="K84">
        <v>16</v>
      </c>
      <c r="L84" s="3" t="s">
        <v>69</v>
      </c>
      <c r="M84">
        <v>177.99143078099999</v>
      </c>
      <c r="N84">
        <v>230.17646616900001</v>
      </c>
      <c r="O84">
        <v>277.03389047899998</v>
      </c>
      <c r="P84" s="4">
        <f t="shared" si="3"/>
        <v>228.40059580966667</v>
      </c>
      <c r="Q84" s="4">
        <f t="shared" si="4"/>
        <v>40.453409352878552</v>
      </c>
      <c r="R84" s="4">
        <f t="shared" si="5"/>
        <v>0.17711604126720246</v>
      </c>
      <c r="S84" t="s">
        <v>12</v>
      </c>
    </row>
    <row r="85" spans="1:19" x14ac:dyDescent="0.35">
      <c r="A85" t="s">
        <v>10</v>
      </c>
      <c r="B85">
        <v>3581</v>
      </c>
      <c r="C85">
        <v>3599</v>
      </c>
      <c r="D85" t="s">
        <v>90</v>
      </c>
      <c r="E85">
        <v>243.15373676766663</v>
      </c>
      <c r="F85" t="s">
        <v>13</v>
      </c>
      <c r="G85">
        <v>3581</v>
      </c>
      <c r="H85">
        <v>3599</v>
      </c>
      <c r="I85" s="3" t="s">
        <v>67</v>
      </c>
      <c r="J85" s="3" t="s">
        <v>68</v>
      </c>
      <c r="K85">
        <v>18</v>
      </c>
      <c r="L85" s="3" t="s">
        <v>69</v>
      </c>
      <c r="M85">
        <v>237.32190770700001</v>
      </c>
      <c r="N85">
        <v>122.76078195700001</v>
      </c>
      <c r="O85">
        <v>369.37852063899999</v>
      </c>
      <c r="P85" s="4">
        <f t="shared" si="3"/>
        <v>243.15373676766663</v>
      </c>
      <c r="Q85" s="4">
        <f t="shared" si="4"/>
        <v>100.76568506788557</v>
      </c>
      <c r="R85" s="4">
        <f t="shared" si="5"/>
        <v>0.41441141891299482</v>
      </c>
      <c r="S85" t="s">
        <v>12</v>
      </c>
    </row>
    <row r="86" spans="1:19" x14ac:dyDescent="0.35">
      <c r="A86" t="s">
        <v>10</v>
      </c>
      <c r="B86">
        <v>77752</v>
      </c>
      <c r="C86">
        <v>77775</v>
      </c>
      <c r="D86" t="s">
        <v>135</v>
      </c>
      <c r="E86">
        <v>251.42773170813334</v>
      </c>
      <c r="F86" t="s">
        <v>13</v>
      </c>
      <c r="G86">
        <v>77752</v>
      </c>
      <c r="H86">
        <v>77775</v>
      </c>
      <c r="I86" s="3" t="s">
        <v>67</v>
      </c>
      <c r="J86" s="3" t="s">
        <v>68</v>
      </c>
      <c r="K86">
        <v>23</v>
      </c>
      <c r="L86" s="3" t="s">
        <v>69</v>
      </c>
      <c r="M86">
        <v>433.37044016099998</v>
      </c>
      <c r="N86">
        <v>96.073655444400003</v>
      </c>
      <c r="O86">
        <v>224.839099519</v>
      </c>
      <c r="P86" s="4">
        <f t="shared" si="3"/>
        <v>251.42773170813334</v>
      </c>
      <c r="Q86" s="4">
        <f t="shared" si="4"/>
        <v>138.9784078344687</v>
      </c>
      <c r="R86" s="4">
        <f t="shared" si="5"/>
        <v>0.5527568772556879</v>
      </c>
      <c r="S86" t="s">
        <v>12</v>
      </c>
    </row>
    <row r="87" spans="1:19" x14ac:dyDescent="0.35">
      <c r="A87" t="s">
        <v>10</v>
      </c>
      <c r="B87">
        <v>278605</v>
      </c>
      <c r="C87">
        <v>278636</v>
      </c>
      <c r="D87" t="s">
        <v>238</v>
      </c>
      <c r="E87">
        <v>252.06674698733335</v>
      </c>
      <c r="F87" t="s">
        <v>13</v>
      </c>
      <c r="G87">
        <v>278605</v>
      </c>
      <c r="H87">
        <v>278636</v>
      </c>
      <c r="I87" s="3" t="s">
        <v>67</v>
      </c>
      <c r="J87" s="3" t="s">
        <v>68</v>
      </c>
      <c r="K87">
        <v>31</v>
      </c>
      <c r="L87" s="3" t="s">
        <v>69</v>
      </c>
      <c r="M87">
        <v>137.799817378</v>
      </c>
      <c r="N87">
        <v>403.92257289000003</v>
      </c>
      <c r="O87">
        <v>214.47785069400001</v>
      </c>
      <c r="P87" s="4">
        <f t="shared" si="3"/>
        <v>252.06674698733335</v>
      </c>
      <c r="Q87" s="4">
        <f t="shared" si="4"/>
        <v>111.84818309875261</v>
      </c>
      <c r="R87" s="4">
        <f t="shared" si="5"/>
        <v>0.44372446756879486</v>
      </c>
      <c r="S87" t="s">
        <v>12</v>
      </c>
    </row>
    <row r="88" spans="1:19" x14ac:dyDescent="0.35">
      <c r="A88" t="s">
        <v>10</v>
      </c>
      <c r="B88">
        <v>71876</v>
      </c>
      <c r="C88">
        <v>71899</v>
      </c>
      <c r="D88" t="s">
        <v>131</v>
      </c>
      <c r="E88">
        <v>252.43370571966668</v>
      </c>
      <c r="F88" t="s">
        <v>11</v>
      </c>
      <c r="G88">
        <v>71876</v>
      </c>
      <c r="H88">
        <v>71899</v>
      </c>
      <c r="I88" s="3" t="s">
        <v>67</v>
      </c>
      <c r="J88" s="3" t="s">
        <v>68</v>
      </c>
      <c r="K88">
        <v>23</v>
      </c>
      <c r="L88" s="3" t="s">
        <v>69</v>
      </c>
      <c r="M88">
        <v>340.50534584100001</v>
      </c>
      <c r="N88">
        <v>256.19641451799998</v>
      </c>
      <c r="O88">
        <v>160.59935680000001</v>
      </c>
      <c r="P88" s="4">
        <f t="shared" si="3"/>
        <v>252.43370571966668</v>
      </c>
      <c r="Q88" s="4">
        <f t="shared" si="4"/>
        <v>73.494488257423669</v>
      </c>
      <c r="R88" s="4">
        <f t="shared" si="5"/>
        <v>0.29114372047859949</v>
      </c>
      <c r="S88" t="s">
        <v>12</v>
      </c>
    </row>
    <row r="89" spans="1:19" x14ac:dyDescent="0.35">
      <c r="A89" t="s">
        <v>10</v>
      </c>
      <c r="B89">
        <v>92499</v>
      </c>
      <c r="C89">
        <v>92522</v>
      </c>
      <c r="D89" t="s">
        <v>148</v>
      </c>
      <c r="E89">
        <v>253.82795970433335</v>
      </c>
      <c r="F89" t="s">
        <v>13</v>
      </c>
      <c r="G89">
        <v>92499</v>
      </c>
      <c r="H89">
        <v>92522</v>
      </c>
      <c r="I89" s="3" t="s">
        <v>67</v>
      </c>
      <c r="J89" s="3" t="s">
        <v>68</v>
      </c>
      <c r="K89">
        <v>23</v>
      </c>
      <c r="L89" s="3" t="s">
        <v>69</v>
      </c>
      <c r="M89">
        <v>216.68522008100001</v>
      </c>
      <c r="N89">
        <v>416.31917359200003</v>
      </c>
      <c r="O89">
        <v>128.47948543999999</v>
      </c>
      <c r="P89" s="4">
        <f t="shared" si="3"/>
        <v>253.82795970433335</v>
      </c>
      <c r="Q89" s="4">
        <f t="shared" si="4"/>
        <v>120.40932646298677</v>
      </c>
      <c r="R89" s="4">
        <f t="shared" si="5"/>
        <v>0.47437377112924545</v>
      </c>
      <c r="S89" t="s">
        <v>12</v>
      </c>
    </row>
    <row r="90" spans="1:19" x14ac:dyDescent="0.35">
      <c r="A90" t="s">
        <v>10</v>
      </c>
      <c r="B90">
        <v>237353</v>
      </c>
      <c r="C90">
        <v>237373</v>
      </c>
      <c r="D90" t="s">
        <v>207</v>
      </c>
      <c r="E90">
        <v>255.22007570866666</v>
      </c>
      <c r="F90" t="s">
        <v>13</v>
      </c>
      <c r="G90">
        <v>237353</v>
      </c>
      <c r="H90">
        <v>237373</v>
      </c>
      <c r="I90" s="3" t="s">
        <v>67</v>
      </c>
      <c r="J90" s="3" t="s">
        <v>68</v>
      </c>
      <c r="K90">
        <v>20</v>
      </c>
      <c r="L90" s="3" t="s">
        <v>69</v>
      </c>
      <c r="M90">
        <v>249.18800309299999</v>
      </c>
      <c r="N90">
        <v>220.96940752200001</v>
      </c>
      <c r="O90">
        <v>295.50281651099999</v>
      </c>
      <c r="P90" s="4">
        <f t="shared" si="3"/>
        <v>255.22007570866666</v>
      </c>
      <c r="Q90" s="4">
        <f t="shared" si="4"/>
        <v>30.725631958902454</v>
      </c>
      <c r="R90" s="4">
        <f t="shared" si="5"/>
        <v>0.12038877378116492</v>
      </c>
      <c r="S90" t="s">
        <v>12</v>
      </c>
    </row>
    <row r="91" spans="1:19" x14ac:dyDescent="0.35">
      <c r="A91" t="s">
        <v>10</v>
      </c>
      <c r="B91">
        <v>10983</v>
      </c>
      <c r="C91">
        <v>11006</v>
      </c>
      <c r="D91" t="s">
        <v>93</v>
      </c>
      <c r="E91">
        <v>263.91688945266668</v>
      </c>
      <c r="F91" t="s">
        <v>11</v>
      </c>
      <c r="G91">
        <v>10983</v>
      </c>
      <c r="H91">
        <v>11006</v>
      </c>
      <c r="I91" s="3" t="s">
        <v>67</v>
      </c>
      <c r="J91" s="3" t="s">
        <v>68</v>
      </c>
      <c r="K91">
        <v>23</v>
      </c>
      <c r="L91" s="3" t="s">
        <v>69</v>
      </c>
      <c r="M91">
        <v>278.59528296100001</v>
      </c>
      <c r="N91">
        <v>256.19641451799998</v>
      </c>
      <c r="O91">
        <v>256.95897087899999</v>
      </c>
      <c r="P91" s="4">
        <f t="shared" si="3"/>
        <v>263.91688945266668</v>
      </c>
      <c r="Q91" s="4">
        <f t="shared" si="4"/>
        <v>10.383859271004441</v>
      </c>
      <c r="R91" s="4">
        <f t="shared" si="5"/>
        <v>3.93451866325773E-2</v>
      </c>
      <c r="S91" t="s">
        <v>12</v>
      </c>
    </row>
    <row r="92" spans="1:19" x14ac:dyDescent="0.35">
      <c r="A92" t="s">
        <v>10</v>
      </c>
      <c r="B92">
        <v>71869</v>
      </c>
      <c r="C92">
        <v>71891</v>
      </c>
      <c r="D92" t="s">
        <v>130</v>
      </c>
      <c r="E92">
        <v>275.5071826373333</v>
      </c>
      <c r="F92" t="s">
        <v>13</v>
      </c>
      <c r="G92">
        <v>71869</v>
      </c>
      <c r="H92">
        <v>71891</v>
      </c>
      <c r="I92" s="3" t="s">
        <v>67</v>
      </c>
      <c r="J92" s="3" t="s">
        <v>68</v>
      </c>
      <c r="K92">
        <v>22</v>
      </c>
      <c r="L92" s="3" t="s">
        <v>69</v>
      </c>
      <c r="M92">
        <v>323.62078323700001</v>
      </c>
      <c r="N92">
        <v>267.84170608699998</v>
      </c>
      <c r="O92">
        <v>235.059058588</v>
      </c>
      <c r="P92" s="4">
        <f t="shared" si="3"/>
        <v>275.5071826373333</v>
      </c>
      <c r="Q92" s="4">
        <f t="shared" si="4"/>
        <v>36.559216040638397</v>
      </c>
      <c r="R92" s="4">
        <f t="shared" si="5"/>
        <v>0.13269786903800435</v>
      </c>
      <c r="S92" t="s">
        <v>12</v>
      </c>
    </row>
    <row r="93" spans="1:19" x14ac:dyDescent="0.35">
      <c r="A93" t="s">
        <v>10</v>
      </c>
      <c r="B93">
        <v>271413</v>
      </c>
      <c r="C93">
        <v>271457</v>
      </c>
      <c r="D93" t="s">
        <v>227</v>
      </c>
      <c r="E93">
        <v>276.16590235799998</v>
      </c>
      <c r="F93" t="s">
        <v>11</v>
      </c>
      <c r="G93">
        <v>271413</v>
      </c>
      <c r="H93">
        <v>271457</v>
      </c>
      <c r="I93" s="3" t="s">
        <v>67</v>
      </c>
      <c r="J93" s="3" t="s">
        <v>68</v>
      </c>
      <c r="K93">
        <v>44</v>
      </c>
      <c r="L93" s="3" t="s">
        <v>69</v>
      </c>
      <c r="M93">
        <v>275.07766575199997</v>
      </c>
      <c r="N93">
        <v>217.621386196</v>
      </c>
      <c r="O93">
        <v>335.79865512600003</v>
      </c>
      <c r="P93" s="4">
        <f t="shared" si="3"/>
        <v>276.16590235799998</v>
      </c>
      <c r="Q93" s="4">
        <f t="shared" si="4"/>
        <v>48.251804229626977</v>
      </c>
      <c r="R93" s="4">
        <f t="shared" si="5"/>
        <v>0.17472035402501318</v>
      </c>
      <c r="S93" t="s">
        <v>12</v>
      </c>
    </row>
    <row r="94" spans="1:19" x14ac:dyDescent="0.35">
      <c r="A94" t="s">
        <v>10</v>
      </c>
      <c r="B94">
        <v>321518</v>
      </c>
      <c r="C94">
        <v>321551</v>
      </c>
      <c r="D94" t="s">
        <v>263</v>
      </c>
      <c r="E94">
        <v>287.15313011300003</v>
      </c>
      <c r="F94" t="s">
        <v>11</v>
      </c>
      <c r="G94">
        <v>321518</v>
      </c>
      <c r="H94">
        <v>321551</v>
      </c>
      <c r="I94" s="3" t="s">
        <v>67</v>
      </c>
      <c r="J94" s="3" t="s">
        <v>68</v>
      </c>
      <c r="K94">
        <v>33</v>
      </c>
      <c r="L94" s="3" t="s">
        <v>69</v>
      </c>
      <c r="M94">
        <v>280.471345472</v>
      </c>
      <c r="N94">
        <v>357.12227478300002</v>
      </c>
      <c r="O94">
        <v>223.86577008399999</v>
      </c>
      <c r="P94" s="4">
        <f t="shared" si="3"/>
        <v>287.15313011300003</v>
      </c>
      <c r="Q94" s="4">
        <f t="shared" si="4"/>
        <v>54.606524003639976</v>
      </c>
      <c r="R94" s="4">
        <f t="shared" si="5"/>
        <v>0.1901651706953405</v>
      </c>
      <c r="S94" t="s">
        <v>12</v>
      </c>
    </row>
    <row r="95" spans="1:19" x14ac:dyDescent="0.35">
      <c r="A95" t="s">
        <v>10</v>
      </c>
      <c r="B95">
        <v>60844</v>
      </c>
      <c r="C95">
        <v>60878</v>
      </c>
      <c r="D95" t="s">
        <v>125</v>
      </c>
      <c r="E95">
        <v>294.10982368100002</v>
      </c>
      <c r="F95" t="s">
        <v>13</v>
      </c>
      <c r="G95">
        <v>60844</v>
      </c>
      <c r="H95">
        <v>60878</v>
      </c>
      <c r="I95" s="3" t="s">
        <v>67</v>
      </c>
      <c r="J95" s="3" t="s">
        <v>68</v>
      </c>
      <c r="K95">
        <v>34</v>
      </c>
      <c r="L95" s="3" t="s">
        <v>69</v>
      </c>
      <c r="M95">
        <v>209.401683271</v>
      </c>
      <c r="N95">
        <v>216.63667404099999</v>
      </c>
      <c r="O95">
        <v>456.291113731</v>
      </c>
      <c r="P95" s="4">
        <f t="shared" si="3"/>
        <v>294.10982368100002</v>
      </c>
      <c r="Q95" s="4">
        <f t="shared" si="4"/>
        <v>114.71752090700055</v>
      </c>
      <c r="R95" s="4">
        <f t="shared" si="5"/>
        <v>0.39004994621133932</v>
      </c>
      <c r="S95" t="s">
        <v>12</v>
      </c>
    </row>
    <row r="96" spans="1:19" x14ac:dyDescent="0.35">
      <c r="A96" t="s">
        <v>10</v>
      </c>
      <c r="B96">
        <v>105058</v>
      </c>
      <c r="C96">
        <v>105072</v>
      </c>
      <c r="D96" t="s">
        <v>157</v>
      </c>
      <c r="E96">
        <v>295.46587295666666</v>
      </c>
      <c r="F96" t="s">
        <v>11</v>
      </c>
      <c r="G96">
        <v>105058</v>
      </c>
      <c r="H96">
        <v>105072</v>
      </c>
      <c r="I96" s="3" t="s">
        <v>67</v>
      </c>
      <c r="J96" s="3" t="s">
        <v>68</v>
      </c>
      <c r="K96">
        <v>14</v>
      </c>
      <c r="L96" s="3" t="s">
        <v>69</v>
      </c>
      <c r="M96">
        <v>254.27347254399999</v>
      </c>
      <c r="N96">
        <v>368.28234586999997</v>
      </c>
      <c r="O96">
        <v>263.84180045599999</v>
      </c>
      <c r="P96" s="4">
        <f t="shared" si="3"/>
        <v>295.46587295666666</v>
      </c>
      <c r="Q96" s="4">
        <f t="shared" si="4"/>
        <v>51.636984616400213</v>
      </c>
      <c r="R96" s="4">
        <f t="shared" si="5"/>
        <v>0.17476463220499699</v>
      </c>
      <c r="S96" t="s">
        <v>12</v>
      </c>
    </row>
    <row r="97" spans="1:19" x14ac:dyDescent="0.35">
      <c r="A97" t="s">
        <v>10</v>
      </c>
      <c r="B97">
        <v>197778</v>
      </c>
      <c r="C97">
        <v>197796</v>
      </c>
      <c r="D97" t="s">
        <v>185</v>
      </c>
      <c r="E97">
        <v>296.68121419599998</v>
      </c>
      <c r="F97" t="s">
        <v>13</v>
      </c>
      <c r="G97">
        <v>197778</v>
      </c>
      <c r="H97">
        <v>197796</v>
      </c>
      <c r="I97" s="3" t="s">
        <v>67</v>
      </c>
      <c r="J97" s="3" t="s">
        <v>68</v>
      </c>
      <c r="K97">
        <v>18</v>
      </c>
      <c r="L97" s="3" t="s">
        <v>69</v>
      </c>
      <c r="M97">
        <v>316.42921027699998</v>
      </c>
      <c r="N97">
        <v>327.362085218</v>
      </c>
      <c r="O97">
        <v>246.252347093</v>
      </c>
      <c r="P97" s="4">
        <f t="shared" si="3"/>
        <v>296.68121419599998</v>
      </c>
      <c r="Q97" s="4">
        <f t="shared" si="4"/>
        <v>35.93684197392156</v>
      </c>
      <c r="R97" s="4">
        <f t="shared" si="5"/>
        <v>0.12112948260411319</v>
      </c>
      <c r="S97" t="s">
        <v>12</v>
      </c>
    </row>
    <row r="98" spans="1:19" x14ac:dyDescent="0.35">
      <c r="A98" t="s">
        <v>10</v>
      </c>
      <c r="B98">
        <v>101769</v>
      </c>
      <c r="C98">
        <v>101792</v>
      </c>
      <c r="D98" t="s">
        <v>156</v>
      </c>
      <c r="E98">
        <v>296.71800121433336</v>
      </c>
      <c r="F98" t="s">
        <v>11</v>
      </c>
      <c r="G98">
        <v>101769</v>
      </c>
      <c r="H98">
        <v>101792</v>
      </c>
      <c r="I98" s="3" t="s">
        <v>67</v>
      </c>
      <c r="J98" s="3" t="s">
        <v>68</v>
      </c>
      <c r="K98">
        <v>23</v>
      </c>
      <c r="L98" s="3" t="s">
        <v>69</v>
      </c>
      <c r="M98">
        <v>216.68522008100001</v>
      </c>
      <c r="N98">
        <v>352.27006996300003</v>
      </c>
      <c r="O98">
        <v>321.19871359899997</v>
      </c>
      <c r="P98" s="4">
        <f t="shared" si="3"/>
        <v>296.71800121433336</v>
      </c>
      <c r="Q98" s="4">
        <f t="shared" si="4"/>
        <v>57.995929963671692</v>
      </c>
      <c r="R98" s="4">
        <f t="shared" si="5"/>
        <v>0.19545807711807314</v>
      </c>
      <c r="S98" t="s">
        <v>12</v>
      </c>
    </row>
    <row r="99" spans="1:19" x14ac:dyDescent="0.35">
      <c r="A99" t="s">
        <v>10</v>
      </c>
      <c r="B99">
        <v>318772</v>
      </c>
      <c r="C99">
        <v>318795</v>
      </c>
      <c r="D99" t="s">
        <v>260</v>
      </c>
      <c r="E99">
        <v>315.83334212933329</v>
      </c>
      <c r="F99" t="s">
        <v>13</v>
      </c>
      <c r="G99">
        <v>318772</v>
      </c>
      <c r="H99">
        <v>318795</v>
      </c>
      <c r="I99" s="3" t="s">
        <v>67</v>
      </c>
      <c r="J99" s="3" t="s">
        <v>68</v>
      </c>
      <c r="K99">
        <v>23</v>
      </c>
      <c r="L99" s="3" t="s">
        <v>69</v>
      </c>
      <c r="M99">
        <v>402.41540872100001</v>
      </c>
      <c r="N99">
        <v>320.24551814799997</v>
      </c>
      <c r="O99">
        <v>224.839099519</v>
      </c>
      <c r="P99" s="4">
        <f t="shared" si="3"/>
        <v>315.83334212933329</v>
      </c>
      <c r="Q99" s="4">
        <f t="shared" si="4"/>
        <v>72.562326636558396</v>
      </c>
      <c r="R99" s="4">
        <f t="shared" si="5"/>
        <v>0.22974878506286467</v>
      </c>
      <c r="S99" t="s">
        <v>12</v>
      </c>
    </row>
    <row r="100" spans="1:19" x14ac:dyDescent="0.35">
      <c r="A100" t="s">
        <v>10</v>
      </c>
      <c r="B100">
        <v>226464</v>
      </c>
      <c r="C100">
        <v>226487</v>
      </c>
      <c r="D100" t="s">
        <v>198</v>
      </c>
      <c r="E100">
        <v>328.029539446</v>
      </c>
      <c r="F100" t="s">
        <v>13</v>
      </c>
      <c r="G100">
        <v>226464</v>
      </c>
      <c r="H100">
        <v>226487</v>
      </c>
      <c r="I100" s="3" t="s">
        <v>67</v>
      </c>
      <c r="J100" s="3" t="s">
        <v>68</v>
      </c>
      <c r="K100">
        <v>23</v>
      </c>
      <c r="L100" s="3" t="s">
        <v>69</v>
      </c>
      <c r="M100">
        <v>278.59528296100001</v>
      </c>
      <c r="N100">
        <v>384.29462177800002</v>
      </c>
      <c r="O100">
        <v>321.19871359899997</v>
      </c>
      <c r="P100" s="4">
        <f t="shared" si="3"/>
        <v>328.029539446</v>
      </c>
      <c r="Q100" s="4">
        <f t="shared" si="4"/>
        <v>43.421060119882988</v>
      </c>
      <c r="R100" s="4">
        <f t="shared" si="5"/>
        <v>0.13236935976319575</v>
      </c>
      <c r="S100" t="s">
        <v>12</v>
      </c>
    </row>
    <row r="101" spans="1:19" x14ac:dyDescent="0.35">
      <c r="A101" t="s">
        <v>10</v>
      </c>
      <c r="B101">
        <v>33125</v>
      </c>
      <c r="C101">
        <v>33148</v>
      </c>
      <c r="D101" t="s">
        <v>104</v>
      </c>
      <c r="E101">
        <v>337.47600376766667</v>
      </c>
      <c r="F101" t="s">
        <v>13</v>
      </c>
      <c r="G101">
        <v>33125</v>
      </c>
      <c r="H101">
        <v>33148</v>
      </c>
      <c r="I101" s="3" t="s">
        <v>67</v>
      </c>
      <c r="J101" s="3" t="s">
        <v>68</v>
      </c>
      <c r="K101">
        <v>23</v>
      </c>
      <c r="L101" s="3" t="s">
        <v>69</v>
      </c>
      <c r="M101">
        <v>371.46037728099998</v>
      </c>
      <c r="N101">
        <v>480.36827722200002</v>
      </c>
      <c r="O101">
        <v>160.59935680000001</v>
      </c>
      <c r="P101" s="4">
        <f t="shared" si="3"/>
        <v>337.47600376766667</v>
      </c>
      <c r="Q101" s="4">
        <f t="shared" si="4"/>
        <v>132.73844921318806</v>
      </c>
      <c r="R101" s="4">
        <f t="shared" si="5"/>
        <v>0.39332707431421127</v>
      </c>
      <c r="S101" t="s">
        <v>12</v>
      </c>
    </row>
    <row r="102" spans="1:19" x14ac:dyDescent="0.35">
      <c r="A102" t="s">
        <v>10</v>
      </c>
      <c r="B102">
        <v>321439</v>
      </c>
      <c r="C102">
        <v>321476</v>
      </c>
      <c r="D102" t="s">
        <v>262</v>
      </c>
      <c r="E102">
        <v>346.40950442133334</v>
      </c>
      <c r="F102" t="s">
        <v>11</v>
      </c>
      <c r="G102">
        <v>321439</v>
      </c>
      <c r="H102">
        <v>321476</v>
      </c>
      <c r="I102" s="3" t="s">
        <v>67</v>
      </c>
      <c r="J102" s="3" t="s">
        <v>68</v>
      </c>
      <c r="K102">
        <v>37</v>
      </c>
      <c r="L102" s="3" t="s">
        <v>69</v>
      </c>
      <c r="M102">
        <v>481.057921029</v>
      </c>
      <c r="N102">
        <v>298.60730746199999</v>
      </c>
      <c r="O102">
        <v>259.56328477300002</v>
      </c>
      <c r="P102" s="4">
        <f t="shared" si="3"/>
        <v>346.40950442133334</v>
      </c>
      <c r="Q102" s="4">
        <f t="shared" si="4"/>
        <v>96.535851710296811</v>
      </c>
      <c r="R102" s="4">
        <f t="shared" si="5"/>
        <v>0.2786755284661056</v>
      </c>
      <c r="S102" t="s">
        <v>12</v>
      </c>
    </row>
    <row r="103" spans="1:19" x14ac:dyDescent="0.35">
      <c r="A103" t="s">
        <v>10</v>
      </c>
      <c r="B103">
        <v>150625</v>
      </c>
      <c r="C103">
        <v>150653</v>
      </c>
      <c r="D103" t="s">
        <v>172</v>
      </c>
      <c r="E103">
        <v>357.29570519500004</v>
      </c>
      <c r="F103" t="s">
        <v>11</v>
      </c>
      <c r="G103">
        <v>150625</v>
      </c>
      <c r="H103">
        <v>150653</v>
      </c>
      <c r="I103" s="3" t="s">
        <v>67</v>
      </c>
      <c r="J103" s="3" t="s">
        <v>68</v>
      </c>
      <c r="K103">
        <v>28</v>
      </c>
      <c r="L103" s="3" t="s">
        <v>69</v>
      </c>
      <c r="M103">
        <v>228.84612528900001</v>
      </c>
      <c r="N103">
        <v>420.894109566</v>
      </c>
      <c r="O103">
        <v>422.14688073000002</v>
      </c>
      <c r="P103" s="4">
        <f t="shared" si="3"/>
        <v>357.29570519500004</v>
      </c>
      <c r="Q103" s="4">
        <f t="shared" si="4"/>
        <v>90.829008921225849</v>
      </c>
      <c r="R103" s="4">
        <f t="shared" si="5"/>
        <v>0.25421242853074433</v>
      </c>
      <c r="S103" t="s">
        <v>12</v>
      </c>
    </row>
    <row r="104" spans="1:19" x14ac:dyDescent="0.35">
      <c r="A104" t="s">
        <v>10</v>
      </c>
      <c r="B104">
        <v>325300</v>
      </c>
      <c r="C104">
        <v>325323</v>
      </c>
      <c r="D104" t="s">
        <v>264</v>
      </c>
      <c r="E104">
        <v>370.17479419099999</v>
      </c>
      <c r="F104" t="s">
        <v>13</v>
      </c>
      <c r="G104">
        <v>325300</v>
      </c>
      <c r="H104">
        <v>325323</v>
      </c>
      <c r="I104" s="3" t="s">
        <v>67</v>
      </c>
      <c r="J104" s="3" t="s">
        <v>68</v>
      </c>
      <c r="K104">
        <v>23</v>
      </c>
      <c r="L104" s="3" t="s">
        <v>69</v>
      </c>
      <c r="M104">
        <v>340.50534584100001</v>
      </c>
      <c r="N104">
        <v>288.22096633299998</v>
      </c>
      <c r="O104">
        <v>481.79807039899998</v>
      </c>
      <c r="P104" s="4">
        <f t="shared" si="3"/>
        <v>370.17479419099999</v>
      </c>
      <c r="Q104" s="4">
        <f t="shared" si="4"/>
        <v>81.764829149171405</v>
      </c>
      <c r="R104" s="4">
        <f t="shared" si="5"/>
        <v>0.22088167652761093</v>
      </c>
      <c r="S104" t="s">
        <v>12</v>
      </c>
    </row>
    <row r="105" spans="1:19" x14ac:dyDescent="0.35">
      <c r="A105" t="s">
        <v>10</v>
      </c>
      <c r="B105">
        <v>321350</v>
      </c>
      <c r="C105">
        <v>321366</v>
      </c>
      <c r="D105" t="s">
        <v>261</v>
      </c>
      <c r="E105">
        <v>379.98435499866667</v>
      </c>
      <c r="F105" t="s">
        <v>11</v>
      </c>
      <c r="G105">
        <v>321350</v>
      </c>
      <c r="H105">
        <v>321366</v>
      </c>
      <c r="I105" s="3" t="s">
        <v>67</v>
      </c>
      <c r="J105" s="3" t="s">
        <v>68</v>
      </c>
      <c r="K105">
        <v>16</v>
      </c>
      <c r="L105" s="3" t="s">
        <v>69</v>
      </c>
      <c r="M105">
        <v>355.98286156099999</v>
      </c>
      <c r="N105">
        <v>322.24705263599998</v>
      </c>
      <c r="O105">
        <v>461.723150799</v>
      </c>
      <c r="P105" s="4">
        <f t="shared" si="3"/>
        <v>379.98435499866667</v>
      </c>
      <c r="Q105" s="4">
        <f t="shared" si="4"/>
        <v>59.416323543408467</v>
      </c>
      <c r="R105" s="4">
        <f t="shared" si="5"/>
        <v>0.15636518388662857</v>
      </c>
      <c r="S105" t="s">
        <v>12</v>
      </c>
    </row>
    <row r="106" spans="1:19" x14ac:dyDescent="0.35">
      <c r="A106" t="s">
        <v>10</v>
      </c>
      <c r="B106">
        <v>363106</v>
      </c>
      <c r="C106">
        <v>363129</v>
      </c>
      <c r="D106" t="s">
        <v>290</v>
      </c>
      <c r="E106">
        <v>381.4991120156667</v>
      </c>
      <c r="F106" t="s">
        <v>11</v>
      </c>
      <c r="G106">
        <v>363106</v>
      </c>
      <c r="H106">
        <v>363129</v>
      </c>
      <c r="I106" s="3" t="s">
        <v>67</v>
      </c>
      <c r="J106" s="3" t="s">
        <v>68</v>
      </c>
      <c r="K106">
        <v>23</v>
      </c>
      <c r="L106" s="3" t="s">
        <v>69</v>
      </c>
      <c r="M106">
        <v>278.59528296100001</v>
      </c>
      <c r="N106">
        <v>448.34372540700002</v>
      </c>
      <c r="O106">
        <v>417.558327679</v>
      </c>
      <c r="P106" s="4">
        <f t="shared" si="3"/>
        <v>381.4991120156667</v>
      </c>
      <c r="Q106" s="4">
        <f t="shared" si="4"/>
        <v>73.841423351674422</v>
      </c>
      <c r="R106" s="4">
        <f t="shared" si="5"/>
        <v>0.19355595078984625</v>
      </c>
      <c r="S106" t="s">
        <v>12</v>
      </c>
    </row>
    <row r="107" spans="1:19" x14ac:dyDescent="0.35">
      <c r="A107" t="s">
        <v>10</v>
      </c>
      <c r="B107">
        <v>286836</v>
      </c>
      <c r="C107">
        <v>286868</v>
      </c>
      <c r="D107" t="s">
        <v>243</v>
      </c>
      <c r="E107">
        <v>395.09605046133333</v>
      </c>
      <c r="F107" t="s">
        <v>13</v>
      </c>
      <c r="G107">
        <v>286836</v>
      </c>
      <c r="H107">
        <v>286868</v>
      </c>
      <c r="I107" s="3" t="s">
        <v>67</v>
      </c>
      <c r="J107" s="3" t="s">
        <v>68</v>
      </c>
      <c r="K107">
        <v>32</v>
      </c>
      <c r="L107" s="3" t="s">
        <v>69</v>
      </c>
      <c r="M107">
        <v>378.23179040899998</v>
      </c>
      <c r="N107">
        <v>322.24705263599998</v>
      </c>
      <c r="O107">
        <v>484.80930833899998</v>
      </c>
      <c r="P107" s="4">
        <f t="shared" si="3"/>
        <v>395.09605046133333</v>
      </c>
      <c r="Q107" s="4">
        <f t="shared" si="4"/>
        <v>67.428600238308476</v>
      </c>
      <c r="R107" s="4">
        <f t="shared" si="5"/>
        <v>0.1706638174681209</v>
      </c>
      <c r="S107" t="s">
        <v>12</v>
      </c>
    </row>
    <row r="108" spans="1:19" x14ac:dyDescent="0.35">
      <c r="A108" t="s">
        <v>10</v>
      </c>
      <c r="B108">
        <v>273417</v>
      </c>
      <c r="C108">
        <v>273439</v>
      </c>
      <c r="D108" t="s">
        <v>232</v>
      </c>
      <c r="E108">
        <v>397.44878641233328</v>
      </c>
      <c r="F108" t="s">
        <v>13</v>
      </c>
      <c r="G108">
        <v>273417</v>
      </c>
      <c r="H108">
        <v>273439</v>
      </c>
      <c r="I108" s="3" t="s">
        <v>67</v>
      </c>
      <c r="J108" s="3" t="s">
        <v>68</v>
      </c>
      <c r="K108">
        <v>22</v>
      </c>
      <c r="L108" s="3" t="s">
        <v>69</v>
      </c>
      <c r="M108">
        <v>420.70701820900001</v>
      </c>
      <c r="N108">
        <v>234.36149282599999</v>
      </c>
      <c r="O108">
        <v>537.27784820199997</v>
      </c>
      <c r="P108" s="4">
        <f t="shared" si="3"/>
        <v>397.44878641233328</v>
      </c>
      <c r="Q108" s="4">
        <f t="shared" si="4"/>
        <v>124.75386059036522</v>
      </c>
      <c r="R108" s="4">
        <f t="shared" si="5"/>
        <v>0.31388663107135345</v>
      </c>
      <c r="S108" t="s">
        <v>12</v>
      </c>
    </row>
    <row r="109" spans="1:19" x14ac:dyDescent="0.35">
      <c r="A109" t="s">
        <v>10</v>
      </c>
      <c r="B109">
        <v>274841</v>
      </c>
      <c r="C109">
        <v>274856</v>
      </c>
      <c r="D109" t="s">
        <v>235</v>
      </c>
      <c r="E109">
        <v>404.17463895933332</v>
      </c>
      <c r="F109" t="s">
        <v>11</v>
      </c>
      <c r="G109">
        <v>274841</v>
      </c>
      <c r="H109">
        <v>274856</v>
      </c>
      <c r="I109" s="3" t="s">
        <v>67</v>
      </c>
      <c r="J109" s="3" t="s">
        <v>68</v>
      </c>
      <c r="K109">
        <v>15</v>
      </c>
      <c r="L109" s="3" t="s">
        <v>69</v>
      </c>
      <c r="M109">
        <v>474.64381541500001</v>
      </c>
      <c r="N109">
        <v>294.62587669599998</v>
      </c>
      <c r="O109">
        <v>443.25422476699998</v>
      </c>
      <c r="P109" s="4">
        <f t="shared" si="3"/>
        <v>404.17463895933332</v>
      </c>
      <c r="Q109" s="4">
        <f t="shared" si="4"/>
        <v>78.515497770964515</v>
      </c>
      <c r="R109" s="4">
        <f t="shared" si="5"/>
        <v>0.19426131726900478</v>
      </c>
      <c r="S109" t="s">
        <v>12</v>
      </c>
    </row>
    <row r="110" spans="1:19" x14ac:dyDescent="0.35">
      <c r="A110" t="s">
        <v>10</v>
      </c>
      <c r="B110">
        <v>268819</v>
      </c>
      <c r="C110">
        <v>268842</v>
      </c>
      <c r="D110" t="s">
        <v>221</v>
      </c>
      <c r="E110">
        <v>413.68252973900002</v>
      </c>
      <c r="F110" t="s">
        <v>13</v>
      </c>
      <c r="G110">
        <v>268819</v>
      </c>
      <c r="H110">
        <v>268842</v>
      </c>
      <c r="I110" s="3" t="s">
        <v>67</v>
      </c>
      <c r="J110" s="3" t="s">
        <v>68</v>
      </c>
      <c r="K110">
        <v>23</v>
      </c>
      <c r="L110" s="3" t="s">
        <v>69</v>
      </c>
      <c r="M110">
        <v>278.59528296100001</v>
      </c>
      <c r="N110">
        <v>384.29462177800002</v>
      </c>
      <c r="O110">
        <v>578.15768447799996</v>
      </c>
      <c r="P110" s="4">
        <f t="shared" si="3"/>
        <v>413.68252973900002</v>
      </c>
      <c r="Q110" s="4">
        <f t="shared" si="4"/>
        <v>124.04876716141708</v>
      </c>
      <c r="R110" s="4">
        <f t="shared" si="5"/>
        <v>0.29986465041122656</v>
      </c>
      <c r="S110" t="s">
        <v>12</v>
      </c>
    </row>
    <row r="111" spans="1:19" x14ac:dyDescent="0.35">
      <c r="A111" t="s">
        <v>10</v>
      </c>
      <c r="B111">
        <v>1951</v>
      </c>
      <c r="C111">
        <v>1975</v>
      </c>
      <c r="D111" t="s">
        <v>89</v>
      </c>
      <c r="E111">
        <v>414.58193024866659</v>
      </c>
      <c r="F111" t="s">
        <v>11</v>
      </c>
      <c r="G111">
        <v>1951</v>
      </c>
      <c r="H111">
        <v>1975</v>
      </c>
      <c r="I111" s="3" t="s">
        <v>67</v>
      </c>
      <c r="J111" s="3" t="s">
        <v>68</v>
      </c>
      <c r="K111">
        <v>24</v>
      </c>
      <c r="L111" s="3" t="s">
        <v>69</v>
      </c>
      <c r="M111">
        <v>444.97857695099998</v>
      </c>
      <c r="N111">
        <v>521.733323316</v>
      </c>
      <c r="O111">
        <v>277.03389047899998</v>
      </c>
      <c r="P111" s="4">
        <f t="shared" si="3"/>
        <v>414.58193024866659</v>
      </c>
      <c r="Q111" s="4">
        <f t="shared" si="4"/>
        <v>102.18421341135914</v>
      </c>
      <c r="R111" s="4">
        <f t="shared" si="5"/>
        <v>0.24647531876285336</v>
      </c>
      <c r="S111" t="s">
        <v>12</v>
      </c>
    </row>
    <row r="112" spans="1:19" x14ac:dyDescent="0.35">
      <c r="A112" t="s">
        <v>10</v>
      </c>
      <c r="B112">
        <v>41418</v>
      </c>
      <c r="C112">
        <v>41460</v>
      </c>
      <c r="D112" t="s">
        <v>110</v>
      </c>
      <c r="E112">
        <v>422.08147382433327</v>
      </c>
      <c r="F112" t="s">
        <v>13</v>
      </c>
      <c r="G112">
        <v>41418</v>
      </c>
      <c r="H112">
        <v>41460</v>
      </c>
      <c r="I112" s="3" t="s">
        <v>67</v>
      </c>
      <c r="J112" s="3" t="s">
        <v>68</v>
      </c>
      <c r="K112">
        <v>42</v>
      </c>
      <c r="L112" s="3" t="s">
        <v>69</v>
      </c>
      <c r="M112">
        <v>440.74068574199998</v>
      </c>
      <c r="N112">
        <v>403.35685500099999</v>
      </c>
      <c r="O112">
        <v>422.14688073000002</v>
      </c>
      <c r="P112" s="4">
        <f t="shared" si="3"/>
        <v>422.08147382433327</v>
      </c>
      <c r="Q112" s="4">
        <f t="shared" si="4"/>
        <v>15.261955068413652</v>
      </c>
      <c r="R112" s="4">
        <f t="shared" si="5"/>
        <v>3.6158789273858412E-2</v>
      </c>
      <c r="S112" t="s">
        <v>12</v>
      </c>
    </row>
    <row r="113" spans="1:19" x14ac:dyDescent="0.35">
      <c r="A113" t="s">
        <v>10</v>
      </c>
      <c r="B113">
        <v>196148</v>
      </c>
      <c r="C113">
        <v>196172</v>
      </c>
      <c r="D113" t="s">
        <v>184</v>
      </c>
      <c r="E113">
        <v>453.97662498666665</v>
      </c>
      <c r="F113" t="s">
        <v>11</v>
      </c>
      <c r="G113">
        <v>196148</v>
      </c>
      <c r="H113">
        <v>196172</v>
      </c>
      <c r="I113" s="3" t="s">
        <v>67</v>
      </c>
      <c r="J113" s="3" t="s">
        <v>68</v>
      </c>
      <c r="K113">
        <v>24</v>
      </c>
      <c r="L113" s="3" t="s">
        <v>69</v>
      </c>
      <c r="M113">
        <v>593.30476926899996</v>
      </c>
      <c r="N113">
        <v>306.90195489199999</v>
      </c>
      <c r="O113">
        <v>461.723150799</v>
      </c>
      <c r="P113" s="4">
        <f t="shared" si="3"/>
        <v>453.97662498666665</v>
      </c>
      <c r="Q113" s="4">
        <f t="shared" si="4"/>
        <v>117.05169660563782</v>
      </c>
      <c r="R113" s="4">
        <f t="shared" si="5"/>
        <v>0.25783639545114384</v>
      </c>
      <c r="S113" t="s">
        <v>12</v>
      </c>
    </row>
    <row r="114" spans="1:19" x14ac:dyDescent="0.35">
      <c r="A114" t="s">
        <v>10</v>
      </c>
      <c r="B114">
        <v>286917</v>
      </c>
      <c r="C114">
        <v>286933</v>
      </c>
      <c r="D114" t="s">
        <v>244</v>
      </c>
      <c r="E114">
        <v>470.38048408166668</v>
      </c>
      <c r="F114" t="s">
        <v>13</v>
      </c>
      <c r="G114">
        <v>286917</v>
      </c>
      <c r="H114">
        <v>286933</v>
      </c>
      <c r="I114" s="3" t="s">
        <v>67</v>
      </c>
      <c r="J114" s="3" t="s">
        <v>68</v>
      </c>
      <c r="K114">
        <v>16</v>
      </c>
      <c r="L114" s="3" t="s">
        <v>69</v>
      </c>
      <c r="M114">
        <v>489.47643464700002</v>
      </c>
      <c r="N114">
        <v>598.45881203900001</v>
      </c>
      <c r="O114">
        <v>323.20620555900001</v>
      </c>
      <c r="P114" s="4">
        <f t="shared" si="3"/>
        <v>470.38048408166668</v>
      </c>
      <c r="Q114" s="4">
        <f t="shared" si="4"/>
        <v>113.17977098257936</v>
      </c>
      <c r="R114" s="4">
        <f t="shared" si="5"/>
        <v>0.24061323718296374</v>
      </c>
      <c r="S114" t="s">
        <v>12</v>
      </c>
    </row>
    <row r="115" spans="1:19" x14ac:dyDescent="0.35">
      <c r="A115" t="s">
        <v>10</v>
      </c>
      <c r="B115">
        <v>29007</v>
      </c>
      <c r="C115">
        <v>29030</v>
      </c>
      <c r="D115" t="s">
        <v>100</v>
      </c>
      <c r="E115">
        <v>507.13354491566662</v>
      </c>
      <c r="F115" t="s">
        <v>11</v>
      </c>
      <c r="G115">
        <v>29007</v>
      </c>
      <c r="H115">
        <v>29030</v>
      </c>
      <c r="I115" s="3" t="s">
        <v>67</v>
      </c>
      <c r="J115" s="3" t="s">
        <v>68</v>
      </c>
      <c r="K115">
        <v>23</v>
      </c>
      <c r="L115" s="3" t="s">
        <v>69</v>
      </c>
      <c r="M115">
        <v>495.28050304200002</v>
      </c>
      <c r="N115">
        <v>576.44193266599996</v>
      </c>
      <c r="O115">
        <v>449.67819903899999</v>
      </c>
      <c r="P115" s="4">
        <f t="shared" si="3"/>
        <v>507.13354491566662</v>
      </c>
      <c r="Q115" s="4">
        <f t="shared" si="4"/>
        <v>52.425388200810104</v>
      </c>
      <c r="R115" s="4">
        <f t="shared" si="5"/>
        <v>0.10337590310561717</v>
      </c>
      <c r="S115" t="s">
        <v>12</v>
      </c>
    </row>
    <row r="116" spans="1:19" x14ac:dyDescent="0.35">
      <c r="A116" t="s">
        <v>10</v>
      </c>
      <c r="B116">
        <v>80563</v>
      </c>
      <c r="C116">
        <v>80586</v>
      </c>
      <c r="D116" t="s">
        <v>140</v>
      </c>
      <c r="E116">
        <v>538.96045584733338</v>
      </c>
      <c r="F116" t="s">
        <v>11</v>
      </c>
      <c r="G116">
        <v>80563</v>
      </c>
      <c r="H116">
        <v>80586</v>
      </c>
      <c r="I116" s="3" t="s">
        <v>67</v>
      </c>
      <c r="J116" s="3" t="s">
        <v>68</v>
      </c>
      <c r="K116">
        <v>23</v>
      </c>
      <c r="L116" s="3" t="s">
        <v>69</v>
      </c>
      <c r="M116">
        <v>526.23553448200005</v>
      </c>
      <c r="N116">
        <v>480.36827722200002</v>
      </c>
      <c r="O116">
        <v>610.27755583800001</v>
      </c>
      <c r="P116" s="4">
        <f t="shared" si="3"/>
        <v>538.96045584733338</v>
      </c>
      <c r="Q116" s="4">
        <f t="shared" si="4"/>
        <v>53.793109133963839</v>
      </c>
      <c r="R116" s="4">
        <f t="shared" si="5"/>
        <v>9.9809009270248467E-2</v>
      </c>
      <c r="S116" t="s">
        <v>12</v>
      </c>
    </row>
    <row r="117" spans="1:19" x14ac:dyDescent="0.35">
      <c r="A117" t="s">
        <v>10</v>
      </c>
      <c r="B117">
        <v>124810</v>
      </c>
      <c r="C117">
        <v>124831</v>
      </c>
      <c r="D117" t="s">
        <v>167</v>
      </c>
      <c r="E117">
        <v>543.77527392033323</v>
      </c>
      <c r="F117" t="s">
        <v>11</v>
      </c>
      <c r="G117">
        <v>124810</v>
      </c>
      <c r="H117">
        <v>124831</v>
      </c>
      <c r="I117" s="3" t="s">
        <v>67</v>
      </c>
      <c r="J117" s="3" t="s">
        <v>68</v>
      </c>
      <c r="K117">
        <v>21</v>
      </c>
      <c r="L117" s="3" t="s">
        <v>69</v>
      </c>
      <c r="M117">
        <v>542.45007476000001</v>
      </c>
      <c r="N117">
        <v>561.19214608799996</v>
      </c>
      <c r="O117">
        <v>527.68360091299996</v>
      </c>
      <c r="P117" s="4">
        <f t="shared" si="3"/>
        <v>543.77527392033323</v>
      </c>
      <c r="Q117" s="4">
        <f t="shared" si="4"/>
        <v>13.711862614713459</v>
      </c>
      <c r="R117" s="4">
        <f t="shared" si="5"/>
        <v>2.5216046540436004E-2</v>
      </c>
      <c r="S117" t="s">
        <v>12</v>
      </c>
    </row>
    <row r="118" spans="1:19" x14ac:dyDescent="0.35">
      <c r="A118" t="s">
        <v>10</v>
      </c>
      <c r="B118">
        <v>228254</v>
      </c>
      <c r="C118">
        <v>228270</v>
      </c>
      <c r="D118" t="s">
        <v>199</v>
      </c>
      <c r="E118">
        <v>563.47602757466666</v>
      </c>
      <c r="F118" t="s">
        <v>11</v>
      </c>
      <c r="G118">
        <v>228254</v>
      </c>
      <c r="H118">
        <v>228270</v>
      </c>
      <c r="I118" s="3" t="s">
        <v>67</v>
      </c>
      <c r="J118" s="3" t="s">
        <v>68</v>
      </c>
      <c r="K118">
        <v>16</v>
      </c>
      <c r="L118" s="3" t="s">
        <v>69</v>
      </c>
      <c r="M118">
        <v>400.48071925599999</v>
      </c>
      <c r="N118">
        <v>966.74115790899998</v>
      </c>
      <c r="O118">
        <v>323.20620555900001</v>
      </c>
      <c r="P118" s="4">
        <f t="shared" si="3"/>
        <v>563.47602757466666</v>
      </c>
      <c r="Q118" s="4">
        <f t="shared" si="4"/>
        <v>286.89128210810924</v>
      </c>
      <c r="R118" s="4">
        <f t="shared" si="5"/>
        <v>0.50914549700181</v>
      </c>
      <c r="S118" t="s">
        <v>12</v>
      </c>
    </row>
    <row r="119" spans="1:19" x14ac:dyDescent="0.35">
      <c r="A119" t="s">
        <v>10</v>
      </c>
      <c r="B119">
        <v>11536</v>
      </c>
      <c r="C119">
        <v>11550</v>
      </c>
      <c r="D119" t="s">
        <v>94</v>
      </c>
      <c r="E119">
        <v>575.73725026433328</v>
      </c>
      <c r="F119" t="s">
        <v>13</v>
      </c>
      <c r="G119">
        <v>11536</v>
      </c>
      <c r="H119">
        <v>11550</v>
      </c>
      <c r="I119" s="3" t="s">
        <v>67</v>
      </c>
      <c r="J119" s="3" t="s">
        <v>68</v>
      </c>
      <c r="K119">
        <v>14</v>
      </c>
      <c r="L119" s="3" t="s">
        <v>69</v>
      </c>
      <c r="M119">
        <v>305.12816705199998</v>
      </c>
      <c r="N119">
        <v>894.39998282800002</v>
      </c>
      <c r="O119">
        <v>527.68360091299996</v>
      </c>
      <c r="P119" s="4">
        <f t="shared" si="3"/>
        <v>575.73725026433328</v>
      </c>
      <c r="Q119" s="4">
        <f t="shared" si="4"/>
        <v>242.95703753129084</v>
      </c>
      <c r="R119" s="4">
        <f t="shared" si="5"/>
        <v>0.42199290982083243</v>
      </c>
      <c r="S119" t="s">
        <v>12</v>
      </c>
    </row>
    <row r="120" spans="1:19" x14ac:dyDescent="0.35">
      <c r="A120" t="s">
        <v>10</v>
      </c>
      <c r="B120">
        <v>30706</v>
      </c>
      <c r="C120">
        <v>30722</v>
      </c>
      <c r="D120" t="s">
        <v>101</v>
      </c>
      <c r="E120">
        <v>591.87787419166671</v>
      </c>
      <c r="F120" t="s">
        <v>13</v>
      </c>
      <c r="G120">
        <v>30706</v>
      </c>
      <c r="H120">
        <v>30722</v>
      </c>
      <c r="I120" s="3" t="s">
        <v>67</v>
      </c>
      <c r="J120" s="3" t="s">
        <v>68</v>
      </c>
      <c r="K120">
        <v>16</v>
      </c>
      <c r="L120" s="3" t="s">
        <v>69</v>
      </c>
      <c r="M120">
        <v>622.970007732</v>
      </c>
      <c r="N120">
        <v>552.42351880499996</v>
      </c>
      <c r="O120">
        <v>600.24009603800005</v>
      </c>
      <c r="P120" s="4">
        <f t="shared" si="3"/>
        <v>591.87787419166671</v>
      </c>
      <c r="Q120" s="4">
        <f t="shared" si="4"/>
        <v>29.401211320140153</v>
      </c>
      <c r="R120" s="4">
        <f t="shared" si="5"/>
        <v>4.9674455833128871E-2</v>
      </c>
      <c r="S120" t="s">
        <v>12</v>
      </c>
    </row>
    <row r="121" spans="1:19" x14ac:dyDescent="0.35">
      <c r="A121" t="s">
        <v>10</v>
      </c>
      <c r="B121">
        <v>41447</v>
      </c>
      <c r="C121">
        <v>41485</v>
      </c>
      <c r="D121" t="s">
        <v>111</v>
      </c>
      <c r="E121">
        <v>607.86896880566667</v>
      </c>
      <c r="F121" t="s">
        <v>13</v>
      </c>
      <c r="G121">
        <v>41447</v>
      </c>
      <c r="H121">
        <v>41485</v>
      </c>
      <c r="I121" s="3" t="s">
        <v>67</v>
      </c>
      <c r="J121" s="3" t="s">
        <v>68</v>
      </c>
      <c r="K121">
        <v>38</v>
      </c>
      <c r="L121" s="3" t="s">
        <v>69</v>
      </c>
      <c r="M121">
        <v>562.078202465</v>
      </c>
      <c r="N121">
        <v>717.181410379</v>
      </c>
      <c r="O121">
        <v>544.347293573</v>
      </c>
      <c r="P121" s="4">
        <f t="shared" si="3"/>
        <v>607.86896880566667</v>
      </c>
      <c r="Q121" s="4">
        <f t="shared" si="4"/>
        <v>77.633771408138259</v>
      </c>
      <c r="R121" s="4">
        <f t="shared" si="5"/>
        <v>0.12771464804441673</v>
      </c>
      <c r="S121" t="s">
        <v>12</v>
      </c>
    </row>
    <row r="122" spans="1:19" x14ac:dyDescent="0.35">
      <c r="A122" t="s">
        <v>10</v>
      </c>
      <c r="B122">
        <v>235736</v>
      </c>
      <c r="C122">
        <v>235753</v>
      </c>
      <c r="D122" t="s">
        <v>205</v>
      </c>
      <c r="E122">
        <v>613.78066846766671</v>
      </c>
      <c r="F122" t="s">
        <v>11</v>
      </c>
      <c r="G122">
        <v>235736</v>
      </c>
      <c r="H122">
        <v>235753</v>
      </c>
      <c r="I122" s="3" t="s">
        <v>67</v>
      </c>
      <c r="J122" s="3" t="s">
        <v>68</v>
      </c>
      <c r="K122">
        <v>17</v>
      </c>
      <c r="L122" s="3" t="s">
        <v>69</v>
      </c>
      <c r="M122">
        <v>670.08538646800002</v>
      </c>
      <c r="N122">
        <v>693.23735693200001</v>
      </c>
      <c r="O122">
        <v>478.01926200299999</v>
      </c>
      <c r="P122" s="4">
        <f t="shared" si="3"/>
        <v>613.78066846766671</v>
      </c>
      <c r="Q122" s="4">
        <f t="shared" si="4"/>
        <v>96.461989225600675</v>
      </c>
      <c r="R122" s="4">
        <f t="shared" si="5"/>
        <v>0.15716035740653533</v>
      </c>
      <c r="S122" t="s">
        <v>12</v>
      </c>
    </row>
    <row r="123" spans="1:19" x14ac:dyDescent="0.35">
      <c r="A123" t="s">
        <v>10</v>
      </c>
      <c r="B123">
        <v>275358</v>
      </c>
      <c r="C123">
        <v>275378</v>
      </c>
      <c r="D123" t="s">
        <v>236</v>
      </c>
      <c r="E123">
        <v>621.51753378333331</v>
      </c>
      <c r="F123" t="s">
        <v>13</v>
      </c>
      <c r="G123">
        <v>275358</v>
      </c>
      <c r="H123">
        <v>275378</v>
      </c>
      <c r="I123" s="3" t="s">
        <v>67</v>
      </c>
      <c r="J123" s="3" t="s">
        <v>68</v>
      </c>
      <c r="K123">
        <v>20</v>
      </c>
      <c r="L123" s="3" t="s">
        <v>69</v>
      </c>
      <c r="M123">
        <v>462.77772002900002</v>
      </c>
      <c r="N123">
        <v>626.07998797899995</v>
      </c>
      <c r="O123">
        <v>775.694893342</v>
      </c>
      <c r="P123" s="4">
        <f t="shared" si="3"/>
        <v>621.51753378333331</v>
      </c>
      <c r="Q123" s="4">
        <f t="shared" si="4"/>
        <v>127.78863102734748</v>
      </c>
      <c r="R123" s="4">
        <f t="shared" si="5"/>
        <v>0.20560744320351831</v>
      </c>
      <c r="S123" t="s">
        <v>12</v>
      </c>
    </row>
    <row r="124" spans="1:19" x14ac:dyDescent="0.35">
      <c r="A124" t="s">
        <v>10</v>
      </c>
      <c r="B124">
        <v>299089</v>
      </c>
      <c r="C124">
        <v>299112</v>
      </c>
      <c r="D124" t="s">
        <v>251</v>
      </c>
      <c r="E124">
        <v>625.91238057966666</v>
      </c>
      <c r="F124" t="s">
        <v>11</v>
      </c>
      <c r="G124">
        <v>299089</v>
      </c>
      <c r="H124">
        <v>299112</v>
      </c>
      <c r="I124" s="3" t="s">
        <v>67</v>
      </c>
      <c r="J124" s="3" t="s">
        <v>68</v>
      </c>
      <c r="K124">
        <v>23</v>
      </c>
      <c r="L124" s="3" t="s">
        <v>69</v>
      </c>
      <c r="M124">
        <v>402.41540872100001</v>
      </c>
      <c r="N124">
        <v>736.56469173999994</v>
      </c>
      <c r="O124">
        <v>738.75704127799997</v>
      </c>
      <c r="P124" s="4">
        <f t="shared" si="3"/>
        <v>625.91238057966666</v>
      </c>
      <c r="Q124" s="4">
        <f t="shared" si="4"/>
        <v>158.03875879378296</v>
      </c>
      <c r="R124" s="4">
        <f t="shared" si="5"/>
        <v>0.25249342191860935</v>
      </c>
      <c r="S124" t="s">
        <v>12</v>
      </c>
    </row>
    <row r="125" spans="1:19" x14ac:dyDescent="0.35">
      <c r="A125" t="s">
        <v>10</v>
      </c>
      <c r="B125">
        <v>111387</v>
      </c>
      <c r="C125">
        <v>111402</v>
      </c>
      <c r="D125" t="s">
        <v>162</v>
      </c>
      <c r="E125">
        <v>647.06042189466666</v>
      </c>
      <c r="F125" t="s">
        <v>13</v>
      </c>
      <c r="G125">
        <v>111387</v>
      </c>
      <c r="H125">
        <v>111402</v>
      </c>
      <c r="I125" s="3" t="s">
        <v>67</v>
      </c>
      <c r="J125" s="3" t="s">
        <v>68</v>
      </c>
      <c r="K125">
        <v>15</v>
      </c>
      <c r="L125" s="3" t="s">
        <v>69</v>
      </c>
      <c r="M125">
        <v>711.96572312199999</v>
      </c>
      <c r="N125">
        <v>687.46037895799998</v>
      </c>
      <c r="O125">
        <v>541.75516360400002</v>
      </c>
      <c r="P125" s="4">
        <f t="shared" si="3"/>
        <v>647.06042189466666</v>
      </c>
      <c r="Q125" s="4">
        <f t="shared" si="4"/>
        <v>75.131112245624792</v>
      </c>
      <c r="R125" s="4">
        <f t="shared" si="5"/>
        <v>0.11611143210649839</v>
      </c>
      <c r="S125" t="s">
        <v>12</v>
      </c>
    </row>
    <row r="126" spans="1:19" x14ac:dyDescent="0.35">
      <c r="A126" t="s">
        <v>10</v>
      </c>
      <c r="B126">
        <v>36683</v>
      </c>
      <c r="C126">
        <v>36713</v>
      </c>
      <c r="D126" t="s">
        <v>108</v>
      </c>
      <c r="E126">
        <v>652.21357397700001</v>
      </c>
      <c r="F126" t="s">
        <v>13</v>
      </c>
      <c r="G126">
        <v>36683</v>
      </c>
      <c r="H126">
        <v>36713</v>
      </c>
      <c r="I126" s="3" t="s">
        <v>67</v>
      </c>
      <c r="J126" s="3" t="s">
        <v>68</v>
      </c>
      <c r="K126">
        <v>30</v>
      </c>
      <c r="L126" s="3" t="s">
        <v>69</v>
      </c>
      <c r="M126">
        <v>973.0198216</v>
      </c>
      <c r="N126">
        <v>466.490971436</v>
      </c>
      <c r="O126">
        <v>517.12992889500003</v>
      </c>
      <c r="P126" s="4">
        <f t="shared" si="3"/>
        <v>652.21357397700001</v>
      </c>
      <c r="Q126" s="4">
        <f t="shared" si="4"/>
        <v>227.78434594823219</v>
      </c>
      <c r="R126" s="4">
        <f t="shared" si="5"/>
        <v>0.3492480914791033</v>
      </c>
      <c r="S126" t="s">
        <v>12</v>
      </c>
    </row>
    <row r="127" spans="1:19" x14ac:dyDescent="0.35">
      <c r="A127" t="s">
        <v>10</v>
      </c>
      <c r="B127">
        <v>80325</v>
      </c>
      <c r="C127">
        <v>80356</v>
      </c>
      <c r="D127" t="s">
        <v>139</v>
      </c>
      <c r="E127">
        <v>660.21948367499999</v>
      </c>
      <c r="F127" t="s">
        <v>13</v>
      </c>
      <c r="G127">
        <v>80325</v>
      </c>
      <c r="H127">
        <v>80356</v>
      </c>
      <c r="I127" s="3" t="s">
        <v>67</v>
      </c>
      <c r="J127" s="3" t="s">
        <v>68</v>
      </c>
      <c r="K127">
        <v>31</v>
      </c>
      <c r="L127" s="3" t="s">
        <v>69</v>
      </c>
      <c r="M127">
        <v>505.26599705400002</v>
      </c>
      <c r="N127">
        <v>712.80454039400001</v>
      </c>
      <c r="O127">
        <v>762.58791357699999</v>
      </c>
      <c r="P127" s="4">
        <f t="shared" si="3"/>
        <v>660.21948367499999</v>
      </c>
      <c r="Q127" s="4">
        <f t="shared" si="4"/>
        <v>111.4376756259531</v>
      </c>
      <c r="R127" s="4">
        <f t="shared" si="5"/>
        <v>0.16878883217086255</v>
      </c>
      <c r="S127" t="s">
        <v>12</v>
      </c>
    </row>
    <row r="128" spans="1:19" x14ac:dyDescent="0.35">
      <c r="A128" t="s">
        <v>10</v>
      </c>
      <c r="B128">
        <v>328579</v>
      </c>
      <c r="C128">
        <v>328600</v>
      </c>
      <c r="D128" t="s">
        <v>265</v>
      </c>
      <c r="E128">
        <v>661.81921598399992</v>
      </c>
      <c r="F128" t="s">
        <v>13</v>
      </c>
      <c r="G128">
        <v>328579</v>
      </c>
      <c r="H128">
        <v>328600</v>
      </c>
      <c r="I128" s="3" t="s">
        <v>67</v>
      </c>
      <c r="J128" s="3" t="s">
        <v>68</v>
      </c>
      <c r="K128">
        <v>21</v>
      </c>
      <c r="L128" s="3" t="s">
        <v>69</v>
      </c>
      <c r="M128">
        <v>474.64381541500001</v>
      </c>
      <c r="N128">
        <v>631.341164349</v>
      </c>
      <c r="O128">
        <v>879.47266818799994</v>
      </c>
      <c r="P128" s="4">
        <f t="shared" si="3"/>
        <v>661.81921598399992</v>
      </c>
      <c r="Q128" s="4">
        <f t="shared" si="4"/>
        <v>166.66990076790552</v>
      </c>
      <c r="R128" s="4">
        <f t="shared" si="5"/>
        <v>0.25183599500068748</v>
      </c>
      <c r="S128" t="s">
        <v>12</v>
      </c>
    </row>
    <row r="129" spans="1:19" x14ac:dyDescent="0.35">
      <c r="A129" t="s">
        <v>10</v>
      </c>
      <c r="B129">
        <v>294020</v>
      </c>
      <c r="C129">
        <v>294039</v>
      </c>
      <c r="D129" t="s">
        <v>248</v>
      </c>
      <c r="E129">
        <v>676.31317307433335</v>
      </c>
      <c r="F129" t="s">
        <v>13</v>
      </c>
      <c r="G129">
        <v>294020</v>
      </c>
      <c r="H129">
        <v>294039</v>
      </c>
      <c r="I129" s="3" t="s">
        <v>67</v>
      </c>
      <c r="J129" s="3" t="s">
        <v>68</v>
      </c>
      <c r="K129">
        <v>19</v>
      </c>
      <c r="L129" s="3" t="s">
        <v>69</v>
      </c>
      <c r="M129">
        <v>786.90948345100003</v>
      </c>
      <c r="N129">
        <v>736.56469173999994</v>
      </c>
      <c r="O129">
        <v>505.46534403200002</v>
      </c>
      <c r="P129" s="4">
        <f t="shared" si="3"/>
        <v>676.31317307433335</v>
      </c>
      <c r="Q129" s="4">
        <f t="shared" si="4"/>
        <v>122.54355696231598</v>
      </c>
      <c r="R129" s="4">
        <f t="shared" si="5"/>
        <v>0.18119350892614841</v>
      </c>
      <c r="S129" t="s">
        <v>12</v>
      </c>
    </row>
    <row r="130" spans="1:19" x14ac:dyDescent="0.35">
      <c r="A130" t="s">
        <v>10</v>
      </c>
      <c r="B130">
        <v>143978</v>
      </c>
      <c r="C130">
        <v>144009</v>
      </c>
      <c r="D130" t="s">
        <v>169</v>
      </c>
      <c r="E130">
        <v>687.26165790366667</v>
      </c>
      <c r="F130" t="s">
        <v>11</v>
      </c>
      <c r="G130">
        <v>143978</v>
      </c>
      <c r="H130">
        <v>144009</v>
      </c>
      <c r="I130" s="3" t="s">
        <v>67</v>
      </c>
      <c r="J130" s="3" t="s">
        <v>68</v>
      </c>
      <c r="K130">
        <v>31</v>
      </c>
      <c r="L130" s="3" t="s">
        <v>69</v>
      </c>
      <c r="M130">
        <v>895.69881296000005</v>
      </c>
      <c r="N130">
        <v>546.48348096899997</v>
      </c>
      <c r="O130">
        <v>619.602679782</v>
      </c>
      <c r="P130" s="4">
        <f t="shared" ref="P130:P193" si="6">AVERAGE(M130:O130)</f>
        <v>687.26165790366667</v>
      </c>
      <c r="Q130" s="4">
        <f t="shared" ref="Q130:Q193" si="7">_xlfn.STDEV.P(M130:O130)</f>
        <v>150.37983024051056</v>
      </c>
      <c r="R130" s="4">
        <f t="shared" ref="R130:R193" si="8">Q130/P130</f>
        <v>0.21881015550788849</v>
      </c>
      <c r="S130" t="s">
        <v>12</v>
      </c>
    </row>
    <row r="131" spans="1:19" x14ac:dyDescent="0.35">
      <c r="A131" t="s">
        <v>10</v>
      </c>
      <c r="B131">
        <v>333039</v>
      </c>
      <c r="C131">
        <v>333068</v>
      </c>
      <c r="D131" t="s">
        <v>273</v>
      </c>
      <c r="E131">
        <v>695.67027184666665</v>
      </c>
      <c r="F131" t="s">
        <v>11</v>
      </c>
      <c r="G131">
        <v>333039</v>
      </c>
      <c r="H131">
        <v>333068</v>
      </c>
      <c r="I131" s="3" t="s">
        <v>67</v>
      </c>
      <c r="J131" s="3" t="s">
        <v>68</v>
      </c>
      <c r="K131">
        <v>29</v>
      </c>
      <c r="L131" s="3" t="s">
        <v>69</v>
      </c>
      <c r="M131">
        <v>662.86463876899995</v>
      </c>
      <c r="N131">
        <v>812.76103916199997</v>
      </c>
      <c r="O131">
        <v>611.38513760900003</v>
      </c>
      <c r="P131" s="4">
        <f t="shared" si="6"/>
        <v>695.67027184666665</v>
      </c>
      <c r="Q131" s="4">
        <f t="shared" si="7"/>
        <v>85.421389213673422</v>
      </c>
      <c r="R131" s="4">
        <f t="shared" si="8"/>
        <v>0.12279005251571427</v>
      </c>
      <c r="S131" t="s">
        <v>12</v>
      </c>
    </row>
    <row r="132" spans="1:19" x14ac:dyDescent="0.35">
      <c r="A132" t="s">
        <v>10</v>
      </c>
      <c r="B132">
        <v>299095</v>
      </c>
      <c r="C132">
        <v>299110</v>
      </c>
      <c r="D132" t="s">
        <v>252</v>
      </c>
      <c r="E132">
        <v>732.47311895299993</v>
      </c>
      <c r="F132" t="s">
        <v>13</v>
      </c>
      <c r="G132">
        <v>299095</v>
      </c>
      <c r="H132">
        <v>299110</v>
      </c>
      <c r="I132" s="3" t="s">
        <v>67</v>
      </c>
      <c r="J132" s="3" t="s">
        <v>68</v>
      </c>
      <c r="K132">
        <v>15</v>
      </c>
      <c r="L132" s="3" t="s">
        <v>69</v>
      </c>
      <c r="M132">
        <v>427.17943387299999</v>
      </c>
      <c r="N132">
        <v>932.981942871</v>
      </c>
      <c r="O132">
        <v>837.25798011500001</v>
      </c>
      <c r="P132" s="4">
        <f t="shared" si="6"/>
        <v>732.47311895299993</v>
      </c>
      <c r="Q132" s="4">
        <f t="shared" si="7"/>
        <v>219.38390228656664</v>
      </c>
      <c r="R132" s="4">
        <f t="shared" si="8"/>
        <v>0.29951119926442471</v>
      </c>
      <c r="S132" t="s">
        <v>12</v>
      </c>
    </row>
    <row r="133" spans="1:19" x14ac:dyDescent="0.35">
      <c r="A133" t="s">
        <v>10</v>
      </c>
      <c r="B133">
        <v>274126</v>
      </c>
      <c r="C133">
        <v>274149</v>
      </c>
      <c r="D133" t="s">
        <v>233</v>
      </c>
      <c r="E133">
        <v>770.36919396699989</v>
      </c>
      <c r="F133" t="s">
        <v>11</v>
      </c>
      <c r="G133">
        <v>274126</v>
      </c>
      <c r="H133">
        <v>274149</v>
      </c>
      <c r="I133" s="3" t="s">
        <v>67</v>
      </c>
      <c r="J133" s="3" t="s">
        <v>68</v>
      </c>
      <c r="K133">
        <v>23</v>
      </c>
      <c r="L133" s="3" t="s">
        <v>69</v>
      </c>
      <c r="M133">
        <v>835.78584888299997</v>
      </c>
      <c r="N133">
        <v>736.56469173999994</v>
      </c>
      <c r="O133">
        <v>738.75704127799997</v>
      </c>
      <c r="P133" s="4">
        <f t="shared" si="6"/>
        <v>770.36919396699989</v>
      </c>
      <c r="Q133" s="4">
        <f t="shared" si="7"/>
        <v>46.265218428991652</v>
      </c>
      <c r="R133" s="4">
        <f t="shared" si="8"/>
        <v>6.0055904092880308E-2</v>
      </c>
      <c r="S133" t="s">
        <v>12</v>
      </c>
    </row>
    <row r="134" spans="1:19" x14ac:dyDescent="0.35">
      <c r="A134" t="s">
        <v>10</v>
      </c>
      <c r="B134">
        <v>294550</v>
      </c>
      <c r="C134">
        <v>294586</v>
      </c>
      <c r="D134" t="s">
        <v>249</v>
      </c>
      <c r="E134">
        <v>791.11444194299986</v>
      </c>
      <c r="F134" t="s">
        <v>13</v>
      </c>
      <c r="G134">
        <v>294550</v>
      </c>
      <c r="H134">
        <v>294586</v>
      </c>
      <c r="I134" s="3" t="s">
        <v>67</v>
      </c>
      <c r="J134" s="3" t="s">
        <v>68</v>
      </c>
      <c r="K134">
        <v>36</v>
      </c>
      <c r="L134" s="3" t="s">
        <v>69</v>
      </c>
      <c r="M134">
        <v>672.41207183799997</v>
      </c>
      <c r="N134">
        <v>777.48495239299996</v>
      </c>
      <c r="O134">
        <v>923.44630159799999</v>
      </c>
      <c r="P134" s="4">
        <f t="shared" si="6"/>
        <v>791.11444194299986</v>
      </c>
      <c r="Q134" s="4">
        <f t="shared" si="7"/>
        <v>102.93644760026882</v>
      </c>
      <c r="R134" s="4">
        <f t="shared" si="8"/>
        <v>0.13011574829484079</v>
      </c>
      <c r="S134" t="s">
        <v>12</v>
      </c>
    </row>
    <row r="135" spans="1:19" x14ac:dyDescent="0.35">
      <c r="A135" t="s">
        <v>10</v>
      </c>
      <c r="B135">
        <v>358914</v>
      </c>
      <c r="C135">
        <v>358943</v>
      </c>
      <c r="D135" t="s">
        <v>287</v>
      </c>
      <c r="E135">
        <v>858.67426181133317</v>
      </c>
      <c r="F135" t="s">
        <v>13</v>
      </c>
      <c r="G135">
        <v>358914</v>
      </c>
      <c r="H135">
        <v>358943</v>
      </c>
      <c r="I135" s="3" t="s">
        <v>67</v>
      </c>
      <c r="J135" s="3" t="s">
        <v>68</v>
      </c>
      <c r="K135">
        <v>29</v>
      </c>
      <c r="L135" s="3" t="s">
        <v>69</v>
      </c>
      <c r="M135">
        <v>1202.97656665</v>
      </c>
      <c r="N135">
        <v>863.55860410900004</v>
      </c>
      <c r="O135">
        <v>509.48761467499997</v>
      </c>
      <c r="P135" s="4">
        <f t="shared" si="6"/>
        <v>858.67426181133317</v>
      </c>
      <c r="Q135" s="4">
        <f t="shared" si="7"/>
        <v>283.13674461598566</v>
      </c>
      <c r="R135" s="4">
        <f t="shared" si="8"/>
        <v>0.3297370809959087</v>
      </c>
      <c r="S135" t="s">
        <v>12</v>
      </c>
    </row>
    <row r="136" spans="1:19" x14ac:dyDescent="0.35">
      <c r="A136" t="s">
        <v>10</v>
      </c>
      <c r="B136">
        <v>101093</v>
      </c>
      <c r="C136">
        <v>101107</v>
      </c>
      <c r="D136" t="s">
        <v>155</v>
      </c>
      <c r="E136">
        <v>970.79005145999997</v>
      </c>
      <c r="F136" t="s">
        <v>13</v>
      </c>
      <c r="G136">
        <v>101093</v>
      </c>
      <c r="H136">
        <v>101107</v>
      </c>
      <c r="I136" s="3" t="s">
        <v>67</v>
      </c>
      <c r="J136" s="3" t="s">
        <v>68</v>
      </c>
      <c r="K136">
        <v>14</v>
      </c>
      <c r="L136" s="3" t="s">
        <v>69</v>
      </c>
      <c r="M136">
        <v>1017.09389017</v>
      </c>
      <c r="N136">
        <v>1473.1293834799999</v>
      </c>
      <c r="O136">
        <v>422.14688073000002</v>
      </c>
      <c r="P136" s="4">
        <f t="shared" si="6"/>
        <v>970.79005145999997</v>
      </c>
      <c r="Q136" s="4">
        <f t="shared" si="7"/>
        <v>430.30926040165156</v>
      </c>
      <c r="R136" s="4">
        <f t="shared" si="8"/>
        <v>0.44325676777846734</v>
      </c>
      <c r="S136" t="s">
        <v>12</v>
      </c>
    </row>
    <row r="137" spans="1:19" x14ac:dyDescent="0.35">
      <c r="A137" t="s">
        <v>10</v>
      </c>
      <c r="B137">
        <v>7528</v>
      </c>
      <c r="C137">
        <v>7543</v>
      </c>
      <c r="D137" t="s">
        <v>91</v>
      </c>
      <c r="E137">
        <v>1002.0820291933333</v>
      </c>
      <c r="F137" t="s">
        <v>11</v>
      </c>
      <c r="G137">
        <v>7528</v>
      </c>
      <c r="H137">
        <v>7543</v>
      </c>
      <c r="I137" s="3" t="s">
        <v>67</v>
      </c>
      <c r="J137" s="3" t="s">
        <v>68</v>
      </c>
      <c r="K137">
        <v>15</v>
      </c>
      <c r="L137" s="3" t="s">
        <v>69</v>
      </c>
      <c r="M137">
        <v>1186.6095385399999</v>
      </c>
      <c r="N137">
        <v>883.87763008800005</v>
      </c>
      <c r="O137">
        <v>935.75891895200004</v>
      </c>
      <c r="P137" s="4">
        <f t="shared" si="6"/>
        <v>1002.0820291933333</v>
      </c>
      <c r="Q137" s="4">
        <f t="shared" si="7"/>
        <v>132.18854794777243</v>
      </c>
      <c r="R137" s="4">
        <f t="shared" si="8"/>
        <v>0.13191389935830203</v>
      </c>
      <c r="S137" t="s">
        <v>12</v>
      </c>
    </row>
    <row r="138" spans="1:19" x14ac:dyDescent="0.35">
      <c r="A138" t="s">
        <v>10</v>
      </c>
      <c r="B138">
        <v>47209</v>
      </c>
      <c r="C138">
        <v>47226</v>
      </c>
      <c r="D138" t="s">
        <v>119</v>
      </c>
      <c r="E138">
        <v>1071.1920807199999</v>
      </c>
      <c r="F138" t="s">
        <v>13</v>
      </c>
      <c r="G138">
        <v>47209</v>
      </c>
      <c r="H138">
        <v>47226</v>
      </c>
      <c r="I138" s="3" t="s">
        <v>67</v>
      </c>
      <c r="J138" s="3" t="s">
        <v>68</v>
      </c>
      <c r="K138">
        <v>17</v>
      </c>
      <c r="L138" s="3" t="s">
        <v>69</v>
      </c>
      <c r="M138">
        <v>1130.76908966</v>
      </c>
      <c r="N138">
        <v>1039.8560354000001</v>
      </c>
      <c r="O138">
        <v>1042.9511170999999</v>
      </c>
      <c r="P138" s="4">
        <f t="shared" si="6"/>
        <v>1071.1920807199999</v>
      </c>
      <c r="Q138" s="4">
        <f t="shared" si="7"/>
        <v>42.14625233129707</v>
      </c>
      <c r="R138" s="4">
        <f t="shared" si="8"/>
        <v>3.9345186628871022E-2</v>
      </c>
      <c r="S138" t="s">
        <v>12</v>
      </c>
    </row>
    <row r="139" spans="1:19" x14ac:dyDescent="0.35">
      <c r="A139" t="s">
        <v>10</v>
      </c>
      <c r="B139">
        <v>241026</v>
      </c>
      <c r="C139">
        <v>241049</v>
      </c>
      <c r="D139" t="s">
        <v>209</v>
      </c>
      <c r="E139">
        <v>1108.1629295513333</v>
      </c>
      <c r="F139" t="s">
        <v>13</v>
      </c>
      <c r="G139">
        <v>241026</v>
      </c>
      <c r="H139">
        <v>241049</v>
      </c>
      <c r="I139" s="3" t="s">
        <v>67</v>
      </c>
      <c r="J139" s="3" t="s">
        <v>68</v>
      </c>
      <c r="K139">
        <v>23</v>
      </c>
      <c r="L139" s="3" t="s">
        <v>69</v>
      </c>
      <c r="M139">
        <v>1207.2462261600001</v>
      </c>
      <c r="N139">
        <v>896.68745081400004</v>
      </c>
      <c r="O139">
        <v>1220.55511168</v>
      </c>
      <c r="P139" s="4">
        <f t="shared" si="6"/>
        <v>1108.1629295513333</v>
      </c>
      <c r="Q139" s="4">
        <f t="shared" si="7"/>
        <v>149.63442159439663</v>
      </c>
      <c r="R139" s="4">
        <f t="shared" si="8"/>
        <v>0.13502926113489447</v>
      </c>
      <c r="S139" t="s">
        <v>12</v>
      </c>
    </row>
    <row r="140" spans="1:19" x14ac:dyDescent="0.35">
      <c r="A140" t="s">
        <v>10</v>
      </c>
      <c r="B140">
        <v>254842</v>
      </c>
      <c r="C140">
        <v>254858</v>
      </c>
      <c r="D140" t="s">
        <v>215</v>
      </c>
      <c r="E140">
        <v>1120.837921868</v>
      </c>
      <c r="F140" t="s">
        <v>11</v>
      </c>
      <c r="G140">
        <v>254842</v>
      </c>
      <c r="H140">
        <v>254858</v>
      </c>
      <c r="I140" s="3" t="s">
        <v>67</v>
      </c>
      <c r="J140" s="3" t="s">
        <v>68</v>
      </c>
      <c r="K140">
        <v>16</v>
      </c>
      <c r="L140" s="3" t="s">
        <v>69</v>
      </c>
      <c r="M140">
        <v>1379.43358855</v>
      </c>
      <c r="N140">
        <v>782.59998497399999</v>
      </c>
      <c r="O140">
        <v>1200.4801920800001</v>
      </c>
      <c r="P140" s="4">
        <f t="shared" si="6"/>
        <v>1120.837921868</v>
      </c>
      <c r="Q140" s="4">
        <f t="shared" si="7"/>
        <v>250.07966196496835</v>
      </c>
      <c r="R140" s="4">
        <f t="shared" si="8"/>
        <v>0.22311848759380218</v>
      </c>
      <c r="S140" t="s">
        <v>12</v>
      </c>
    </row>
    <row r="141" spans="1:19" x14ac:dyDescent="0.35">
      <c r="A141" t="s">
        <v>10</v>
      </c>
      <c r="B141">
        <v>229467</v>
      </c>
      <c r="C141">
        <v>229483</v>
      </c>
      <c r="D141" t="s">
        <v>200</v>
      </c>
      <c r="E141">
        <v>1150.1834426893333</v>
      </c>
      <c r="F141" t="s">
        <v>13</v>
      </c>
      <c r="G141">
        <v>229467</v>
      </c>
      <c r="H141">
        <v>229483</v>
      </c>
      <c r="I141" s="3" t="s">
        <v>67</v>
      </c>
      <c r="J141" s="3" t="s">
        <v>68</v>
      </c>
      <c r="K141">
        <v>16</v>
      </c>
      <c r="L141" s="3" t="s">
        <v>69</v>
      </c>
      <c r="M141">
        <v>1468.42930394</v>
      </c>
      <c r="N141">
        <v>1104.8470376099999</v>
      </c>
      <c r="O141">
        <v>877.27398651800002</v>
      </c>
      <c r="P141" s="4">
        <f t="shared" si="6"/>
        <v>1150.1834426893333</v>
      </c>
      <c r="Q141" s="4">
        <f t="shared" si="7"/>
        <v>243.45799712779228</v>
      </c>
      <c r="R141" s="4">
        <f t="shared" si="8"/>
        <v>0.21166884176192297</v>
      </c>
      <c r="S141" t="s">
        <v>12</v>
      </c>
    </row>
    <row r="142" spans="1:19" x14ac:dyDescent="0.35">
      <c r="A142" t="s">
        <v>10</v>
      </c>
      <c r="B142">
        <v>41955</v>
      </c>
      <c r="C142">
        <v>41992</v>
      </c>
      <c r="D142" t="s">
        <v>113</v>
      </c>
      <c r="E142">
        <v>1174.6966221133332</v>
      </c>
      <c r="F142" t="s">
        <v>13</v>
      </c>
      <c r="G142">
        <v>41955</v>
      </c>
      <c r="H142">
        <v>41992</v>
      </c>
      <c r="I142" s="3" t="s">
        <v>67</v>
      </c>
      <c r="J142" s="3" t="s">
        <v>68</v>
      </c>
      <c r="K142">
        <v>37</v>
      </c>
      <c r="L142" s="3" t="s">
        <v>69</v>
      </c>
      <c r="M142">
        <v>1231.50827783</v>
      </c>
      <c r="N142">
        <v>1194.42922985</v>
      </c>
      <c r="O142">
        <v>1098.1523586599999</v>
      </c>
      <c r="P142" s="4">
        <f t="shared" si="6"/>
        <v>1174.6966221133332</v>
      </c>
      <c r="Q142" s="4">
        <f t="shared" si="7"/>
        <v>56.201910705869352</v>
      </c>
      <c r="R142" s="4">
        <f t="shared" si="8"/>
        <v>4.7843766337524261E-2</v>
      </c>
      <c r="S142" t="s">
        <v>12</v>
      </c>
    </row>
    <row r="143" spans="1:19" x14ac:dyDescent="0.35">
      <c r="A143" t="s">
        <v>10</v>
      </c>
      <c r="B143">
        <v>42750</v>
      </c>
      <c r="C143">
        <v>42772</v>
      </c>
      <c r="D143" t="s">
        <v>115</v>
      </c>
      <c r="E143">
        <v>1226.5128810099998</v>
      </c>
      <c r="F143" t="s">
        <v>13</v>
      </c>
      <c r="G143">
        <v>42750</v>
      </c>
      <c r="H143">
        <v>42772</v>
      </c>
      <c r="I143" s="3" t="s">
        <v>67</v>
      </c>
      <c r="J143" s="3" t="s">
        <v>68</v>
      </c>
      <c r="K143">
        <v>22</v>
      </c>
      <c r="L143" s="3" t="s">
        <v>69</v>
      </c>
      <c r="M143">
        <v>1165.0348196499999</v>
      </c>
      <c r="N143">
        <v>1339.20853044</v>
      </c>
      <c r="O143">
        <v>1175.2952929400001</v>
      </c>
      <c r="P143" s="4">
        <f t="shared" si="6"/>
        <v>1226.5128810099998</v>
      </c>
      <c r="Q143" s="4">
        <f t="shared" si="7"/>
        <v>79.797875403508485</v>
      </c>
      <c r="R143" s="4">
        <f t="shared" si="8"/>
        <v>6.5060772405257677E-2</v>
      </c>
      <c r="S143" t="s">
        <v>12</v>
      </c>
    </row>
    <row r="144" spans="1:19" x14ac:dyDescent="0.35">
      <c r="A144" t="s">
        <v>10</v>
      </c>
      <c r="B144">
        <v>94326</v>
      </c>
      <c r="C144">
        <v>94341</v>
      </c>
      <c r="D144" t="s">
        <v>151</v>
      </c>
      <c r="E144">
        <v>1235.9983898516666</v>
      </c>
      <c r="F144" t="s">
        <v>13</v>
      </c>
      <c r="G144">
        <v>94326</v>
      </c>
      <c r="H144">
        <v>94341</v>
      </c>
      <c r="I144" s="3" t="s">
        <v>67</v>
      </c>
      <c r="J144" s="3" t="s">
        <v>68</v>
      </c>
      <c r="K144">
        <v>15</v>
      </c>
      <c r="L144" s="3" t="s">
        <v>69</v>
      </c>
      <c r="M144">
        <v>806.89448620500002</v>
      </c>
      <c r="N144">
        <v>1571.33800905</v>
      </c>
      <c r="O144">
        <v>1329.7626743000001</v>
      </c>
      <c r="P144" s="4">
        <f t="shared" si="6"/>
        <v>1235.9983898516666</v>
      </c>
      <c r="Q144" s="4">
        <f t="shared" si="7"/>
        <v>319.04783411843863</v>
      </c>
      <c r="R144" s="4">
        <f t="shared" si="8"/>
        <v>0.25812965189762738</v>
      </c>
      <c r="S144" t="s">
        <v>12</v>
      </c>
    </row>
    <row r="145" spans="1:19" x14ac:dyDescent="0.35">
      <c r="A145" t="s">
        <v>10</v>
      </c>
      <c r="B145">
        <v>109410</v>
      </c>
      <c r="C145">
        <v>109425</v>
      </c>
      <c r="D145" t="s">
        <v>161</v>
      </c>
      <c r="E145">
        <v>1264.3614483966667</v>
      </c>
      <c r="F145" t="s">
        <v>11</v>
      </c>
      <c r="G145">
        <v>109410</v>
      </c>
      <c r="H145">
        <v>109425</v>
      </c>
      <c r="I145" s="3" t="s">
        <v>67</v>
      </c>
      <c r="J145" s="3" t="s">
        <v>68</v>
      </c>
      <c r="K145">
        <v>15</v>
      </c>
      <c r="L145" s="3" t="s">
        <v>69</v>
      </c>
      <c r="M145">
        <v>1186.6095385399999</v>
      </c>
      <c r="N145">
        <v>1276.71213235</v>
      </c>
      <c r="O145">
        <v>1329.7626743000001</v>
      </c>
      <c r="P145" s="4">
        <f t="shared" si="6"/>
        <v>1264.3614483966667</v>
      </c>
      <c r="Q145" s="4">
        <f t="shared" si="7"/>
        <v>59.090944681716984</v>
      </c>
      <c r="R145" s="4">
        <f t="shared" si="8"/>
        <v>4.6735800713197995E-2</v>
      </c>
      <c r="S145" t="s">
        <v>12</v>
      </c>
    </row>
    <row r="146" spans="1:19" x14ac:dyDescent="0.35">
      <c r="A146" t="s">
        <v>10</v>
      </c>
      <c r="B146">
        <v>190913</v>
      </c>
      <c r="C146">
        <v>190946</v>
      </c>
      <c r="D146" t="s">
        <v>180</v>
      </c>
      <c r="E146">
        <v>1270.9259355486668</v>
      </c>
      <c r="F146" t="s">
        <v>11</v>
      </c>
      <c r="G146">
        <v>190913</v>
      </c>
      <c r="H146">
        <v>190946</v>
      </c>
      <c r="I146" s="3" t="s">
        <v>67</v>
      </c>
      <c r="J146" s="3" t="s">
        <v>68</v>
      </c>
      <c r="K146">
        <v>33</v>
      </c>
      <c r="L146" s="3" t="s">
        <v>69</v>
      </c>
      <c r="M146">
        <v>1531.80504066</v>
      </c>
      <c r="N146">
        <v>825.84526043599999</v>
      </c>
      <c r="O146">
        <v>1455.12750555</v>
      </c>
      <c r="P146" s="4">
        <f t="shared" si="6"/>
        <v>1270.9259355486668</v>
      </c>
      <c r="Q146" s="4">
        <f t="shared" si="7"/>
        <v>316.27252659343901</v>
      </c>
      <c r="R146" s="4">
        <f t="shared" si="8"/>
        <v>0.24885205167907928</v>
      </c>
      <c r="S146" t="s">
        <v>12</v>
      </c>
    </row>
    <row r="147" spans="1:19" x14ac:dyDescent="0.35">
      <c r="A147" t="s">
        <v>10</v>
      </c>
      <c r="B147">
        <v>25259</v>
      </c>
      <c r="C147">
        <v>25292</v>
      </c>
      <c r="D147" t="s">
        <v>97</v>
      </c>
      <c r="E147">
        <v>1371.3072332566664</v>
      </c>
      <c r="F147" t="s">
        <v>13</v>
      </c>
      <c r="G147">
        <v>25259</v>
      </c>
      <c r="H147">
        <v>25292</v>
      </c>
      <c r="I147" s="3" t="s">
        <v>67</v>
      </c>
      <c r="J147" s="3" t="s">
        <v>68</v>
      </c>
      <c r="K147">
        <v>33</v>
      </c>
      <c r="L147" s="3" t="s">
        <v>69</v>
      </c>
      <c r="M147">
        <v>1208.18425742</v>
      </c>
      <c r="N147">
        <v>1517.7696678299999</v>
      </c>
      <c r="O147">
        <v>1387.9677745199999</v>
      </c>
      <c r="P147" s="4">
        <f t="shared" si="6"/>
        <v>1371.3072332566664</v>
      </c>
      <c r="Q147" s="4">
        <f t="shared" si="7"/>
        <v>126.9355789657952</v>
      </c>
      <c r="R147" s="4">
        <f t="shared" si="8"/>
        <v>9.2565382787590661E-2</v>
      </c>
      <c r="S147" t="s">
        <v>12</v>
      </c>
    </row>
    <row r="148" spans="1:19" x14ac:dyDescent="0.35">
      <c r="A148" t="s">
        <v>10</v>
      </c>
      <c r="B148">
        <v>161696</v>
      </c>
      <c r="C148">
        <v>161710</v>
      </c>
      <c r="D148" t="s">
        <v>173</v>
      </c>
      <c r="E148">
        <v>1421.84135124</v>
      </c>
      <c r="F148" t="s">
        <v>11</v>
      </c>
      <c r="G148">
        <v>161696</v>
      </c>
      <c r="H148">
        <v>161710</v>
      </c>
      <c r="I148" s="3" t="s">
        <v>67</v>
      </c>
      <c r="J148" s="3" t="s">
        <v>68</v>
      </c>
      <c r="K148">
        <v>14</v>
      </c>
      <c r="L148" s="3" t="s">
        <v>69</v>
      </c>
      <c r="M148">
        <v>1525.6408352599999</v>
      </c>
      <c r="N148">
        <v>1367.90585609</v>
      </c>
      <c r="O148">
        <v>1371.97736237</v>
      </c>
      <c r="P148" s="4">
        <f t="shared" si="6"/>
        <v>1421.84135124</v>
      </c>
      <c r="Q148" s="4">
        <f t="shared" si="7"/>
        <v>73.416137885166549</v>
      </c>
      <c r="R148" s="4">
        <f t="shared" si="8"/>
        <v>5.1634549678232181E-2</v>
      </c>
      <c r="S148" t="s">
        <v>12</v>
      </c>
    </row>
    <row r="149" spans="1:19" x14ac:dyDescent="0.35">
      <c r="A149" t="s">
        <v>10</v>
      </c>
      <c r="B149">
        <v>216293</v>
      </c>
      <c r="C149">
        <v>216316</v>
      </c>
      <c r="D149" t="s">
        <v>191</v>
      </c>
      <c r="E149">
        <v>1470.0313279533332</v>
      </c>
      <c r="F149" t="s">
        <v>13</v>
      </c>
      <c r="G149">
        <v>216293</v>
      </c>
      <c r="H149">
        <v>216316</v>
      </c>
      <c r="I149" s="3" t="s">
        <v>67</v>
      </c>
      <c r="J149" s="3" t="s">
        <v>68</v>
      </c>
      <c r="K149">
        <v>23</v>
      </c>
      <c r="L149" s="3" t="s">
        <v>69</v>
      </c>
      <c r="M149">
        <v>1331.06635192</v>
      </c>
      <c r="N149">
        <v>1505.1539353000001</v>
      </c>
      <c r="O149">
        <v>1573.8736966399999</v>
      </c>
      <c r="P149" s="4">
        <f t="shared" si="6"/>
        <v>1470.0313279533332</v>
      </c>
      <c r="Q149" s="4">
        <f t="shared" si="7"/>
        <v>102.18952921774101</v>
      </c>
      <c r="R149" s="4">
        <f t="shared" si="8"/>
        <v>6.9515205067102528E-2</v>
      </c>
      <c r="S149" t="s">
        <v>12</v>
      </c>
    </row>
    <row r="150" spans="1:19" x14ac:dyDescent="0.35">
      <c r="A150" t="s">
        <v>10</v>
      </c>
      <c r="B150">
        <v>298976</v>
      </c>
      <c r="C150">
        <v>299017</v>
      </c>
      <c r="D150" t="s">
        <v>250</v>
      </c>
      <c r="E150">
        <v>1519.4392390400001</v>
      </c>
      <c r="F150" t="s">
        <v>13</v>
      </c>
      <c r="G150">
        <v>298976</v>
      </c>
      <c r="H150">
        <v>299017</v>
      </c>
      <c r="I150" s="3" t="s">
        <v>67</v>
      </c>
      <c r="J150" s="3" t="s">
        <v>68</v>
      </c>
      <c r="K150">
        <v>41</v>
      </c>
      <c r="L150" s="3" t="s">
        <v>69</v>
      </c>
      <c r="M150">
        <v>1302.37632278</v>
      </c>
      <c r="N150">
        <v>1814.4642406299999</v>
      </c>
      <c r="O150">
        <v>1441.47715371</v>
      </c>
      <c r="P150" s="4">
        <f t="shared" si="6"/>
        <v>1519.4392390400001</v>
      </c>
      <c r="Q150" s="4">
        <f t="shared" si="7"/>
        <v>216.20526352479391</v>
      </c>
      <c r="R150" s="4">
        <f t="shared" si="8"/>
        <v>0.14229279984989396</v>
      </c>
      <c r="S150" t="s">
        <v>12</v>
      </c>
    </row>
    <row r="151" spans="1:19" x14ac:dyDescent="0.35">
      <c r="A151" t="s">
        <v>10</v>
      </c>
      <c r="B151">
        <v>200901</v>
      </c>
      <c r="C151">
        <v>200939</v>
      </c>
      <c r="D151" t="s">
        <v>186</v>
      </c>
      <c r="E151">
        <v>1559.05669745</v>
      </c>
      <c r="F151" t="s">
        <v>13</v>
      </c>
      <c r="G151">
        <v>200901</v>
      </c>
      <c r="H151">
        <v>200939</v>
      </c>
      <c r="I151" s="3" t="s">
        <v>67</v>
      </c>
      <c r="J151" s="3" t="s">
        <v>68</v>
      </c>
      <c r="K151">
        <v>38</v>
      </c>
      <c r="L151" s="3" t="s">
        <v>69</v>
      </c>
      <c r="M151">
        <v>1648.7627272300001</v>
      </c>
      <c r="N151">
        <v>1473.1293834799999</v>
      </c>
      <c r="O151">
        <v>1555.27798164</v>
      </c>
      <c r="P151" s="4">
        <f t="shared" si="6"/>
        <v>1559.05669745</v>
      </c>
      <c r="Q151" s="4">
        <f t="shared" si="7"/>
        <v>71.751779903967034</v>
      </c>
      <c r="R151" s="4">
        <f t="shared" si="8"/>
        <v>4.6022559680686762E-2</v>
      </c>
      <c r="S151" t="s">
        <v>12</v>
      </c>
    </row>
    <row r="152" spans="1:19" x14ac:dyDescent="0.35">
      <c r="A152" t="s">
        <v>10</v>
      </c>
      <c r="B152">
        <v>274412</v>
      </c>
      <c r="C152">
        <v>274435</v>
      </c>
      <c r="D152" t="s">
        <v>234</v>
      </c>
      <c r="E152">
        <v>1565.4167411999999</v>
      </c>
      <c r="F152" t="s">
        <v>11</v>
      </c>
      <c r="G152">
        <v>274412</v>
      </c>
      <c r="H152">
        <v>274435</v>
      </c>
      <c r="I152" s="3" t="s">
        <v>67</v>
      </c>
      <c r="J152" s="3" t="s">
        <v>68</v>
      </c>
      <c r="K152">
        <v>23</v>
      </c>
      <c r="L152" s="3" t="s">
        <v>69</v>
      </c>
      <c r="M152">
        <v>1423.93144624</v>
      </c>
      <c r="N152">
        <v>1313.0066244100001</v>
      </c>
      <c r="O152">
        <v>1959.3121529499999</v>
      </c>
      <c r="P152" s="4">
        <f t="shared" si="6"/>
        <v>1565.4167411999999</v>
      </c>
      <c r="Q152" s="4">
        <f t="shared" si="7"/>
        <v>282.18348117584907</v>
      </c>
      <c r="R152" s="4">
        <f t="shared" si="8"/>
        <v>0.18026093228026677</v>
      </c>
      <c r="S152" t="s">
        <v>12</v>
      </c>
    </row>
    <row r="153" spans="1:19" x14ac:dyDescent="0.35">
      <c r="A153" t="s">
        <v>10</v>
      </c>
      <c r="B153">
        <v>329548</v>
      </c>
      <c r="C153">
        <v>329570</v>
      </c>
      <c r="D153" t="s">
        <v>267</v>
      </c>
      <c r="E153">
        <v>1592.34501239</v>
      </c>
      <c r="F153" t="s">
        <v>13</v>
      </c>
      <c r="G153">
        <v>329548</v>
      </c>
      <c r="H153">
        <v>329570</v>
      </c>
      <c r="I153" s="3" t="s">
        <v>67</v>
      </c>
      <c r="J153" s="3" t="s">
        <v>68</v>
      </c>
      <c r="K153">
        <v>22</v>
      </c>
      <c r="L153" s="3" t="s">
        <v>69</v>
      </c>
      <c r="M153">
        <v>1423.93144624</v>
      </c>
      <c r="N153">
        <v>1640.5304497899999</v>
      </c>
      <c r="O153">
        <v>1712.57314114</v>
      </c>
      <c r="P153" s="4">
        <f t="shared" si="6"/>
        <v>1592.34501239</v>
      </c>
      <c r="Q153" s="4">
        <f t="shared" si="7"/>
        <v>122.66454062946947</v>
      </c>
      <c r="R153" s="4">
        <f t="shared" si="8"/>
        <v>7.7033896344711417E-2</v>
      </c>
      <c r="S153" t="s">
        <v>12</v>
      </c>
    </row>
    <row r="154" spans="1:19" x14ac:dyDescent="0.35">
      <c r="A154" t="s">
        <v>10</v>
      </c>
      <c r="B154">
        <v>347451</v>
      </c>
      <c r="C154">
        <v>347477</v>
      </c>
      <c r="D154" t="s">
        <v>282</v>
      </c>
      <c r="E154">
        <v>1638.1233625333334</v>
      </c>
      <c r="F154" t="s">
        <v>13</v>
      </c>
      <c r="G154">
        <v>347451</v>
      </c>
      <c r="H154">
        <v>347477</v>
      </c>
      <c r="I154" s="3" t="s">
        <v>67</v>
      </c>
      <c r="J154" s="3" t="s">
        <v>68</v>
      </c>
      <c r="K154">
        <v>26</v>
      </c>
      <c r="L154" s="3" t="s">
        <v>69</v>
      </c>
      <c r="M154">
        <v>1396.5481491999999</v>
      </c>
      <c r="N154">
        <v>1841.4117293500001</v>
      </c>
      <c r="O154">
        <v>1676.41020905</v>
      </c>
      <c r="P154" s="4">
        <f t="shared" si="6"/>
        <v>1638.1233625333334</v>
      </c>
      <c r="Q154" s="4">
        <f t="shared" si="7"/>
        <v>183.62155501304184</v>
      </c>
      <c r="R154" s="4">
        <f t="shared" si="8"/>
        <v>0.11209262941532916</v>
      </c>
      <c r="S154" t="s">
        <v>12</v>
      </c>
    </row>
    <row r="155" spans="1:19" x14ac:dyDescent="0.35">
      <c r="A155" t="s">
        <v>10</v>
      </c>
      <c r="B155">
        <v>20421</v>
      </c>
      <c r="C155">
        <v>20444</v>
      </c>
      <c r="D155" t="s">
        <v>96</v>
      </c>
      <c r="E155">
        <v>1649.0400138766665</v>
      </c>
      <c r="F155" t="s">
        <v>11</v>
      </c>
      <c r="G155">
        <v>20421</v>
      </c>
      <c r="H155">
        <v>20444</v>
      </c>
      <c r="I155" s="3" t="s">
        <v>67</v>
      </c>
      <c r="J155" s="3" t="s">
        <v>68</v>
      </c>
      <c r="K155">
        <v>23</v>
      </c>
      <c r="L155" s="3" t="s">
        <v>69</v>
      </c>
      <c r="M155">
        <v>1547.7515719999999</v>
      </c>
      <c r="N155">
        <v>1793.3749016300001</v>
      </c>
      <c r="O155">
        <v>1605.9935680000001</v>
      </c>
      <c r="P155" s="4">
        <f t="shared" si="6"/>
        <v>1649.0400138766665</v>
      </c>
      <c r="Q155" s="4">
        <f t="shared" si="7"/>
        <v>104.79329619650143</v>
      </c>
      <c r="R155" s="4">
        <f t="shared" si="8"/>
        <v>6.3548061487087137E-2</v>
      </c>
      <c r="S155" t="s">
        <v>12</v>
      </c>
    </row>
    <row r="156" spans="1:19" x14ac:dyDescent="0.35">
      <c r="A156" t="s">
        <v>10</v>
      </c>
      <c r="B156">
        <v>236813</v>
      </c>
      <c r="C156">
        <v>236835</v>
      </c>
      <c r="D156" t="s">
        <v>206</v>
      </c>
      <c r="E156">
        <v>1708.5962892266664</v>
      </c>
      <c r="F156" t="s">
        <v>11</v>
      </c>
      <c r="G156">
        <v>236813</v>
      </c>
      <c r="H156">
        <v>236835</v>
      </c>
      <c r="I156" s="3" t="s">
        <v>67</v>
      </c>
      <c r="J156" s="3" t="s">
        <v>68</v>
      </c>
      <c r="K156">
        <v>22</v>
      </c>
      <c r="L156" s="3" t="s">
        <v>69</v>
      </c>
      <c r="M156">
        <v>2006.4488560699999</v>
      </c>
      <c r="N156">
        <v>1205.28767739</v>
      </c>
      <c r="O156">
        <v>1914.0523342199999</v>
      </c>
      <c r="P156" s="4">
        <f t="shared" si="6"/>
        <v>1708.5962892266664</v>
      </c>
      <c r="Q156" s="4">
        <f t="shared" si="7"/>
        <v>357.88633984754557</v>
      </c>
      <c r="R156" s="4">
        <f t="shared" si="8"/>
        <v>0.20946220128426576</v>
      </c>
      <c r="S156" t="s">
        <v>12</v>
      </c>
    </row>
    <row r="157" spans="1:19" x14ac:dyDescent="0.35">
      <c r="A157" t="s">
        <v>10</v>
      </c>
      <c r="B157">
        <v>50810</v>
      </c>
      <c r="C157">
        <v>50849</v>
      </c>
      <c r="D157" t="s">
        <v>121</v>
      </c>
      <c r="E157">
        <v>1745.2499446833333</v>
      </c>
      <c r="F157" t="s">
        <v>13</v>
      </c>
      <c r="G157">
        <v>50810</v>
      </c>
      <c r="H157">
        <v>50849</v>
      </c>
      <c r="I157" s="3" t="s">
        <v>67</v>
      </c>
      <c r="J157" s="3" t="s">
        <v>68</v>
      </c>
      <c r="K157">
        <v>39</v>
      </c>
      <c r="L157" s="3" t="s">
        <v>69</v>
      </c>
      <c r="M157">
        <v>1679.5088853100001</v>
      </c>
      <c r="N157">
        <v>1661.9921249500001</v>
      </c>
      <c r="O157">
        <v>1894.24882379</v>
      </c>
      <c r="P157" s="4">
        <f t="shared" si="6"/>
        <v>1745.2499446833333</v>
      </c>
      <c r="Q157" s="4">
        <f t="shared" si="7"/>
        <v>105.60053252599219</v>
      </c>
      <c r="R157" s="4">
        <f t="shared" si="8"/>
        <v>6.0507397721277612E-2</v>
      </c>
      <c r="S157" t="s">
        <v>12</v>
      </c>
    </row>
    <row r="158" spans="1:19" x14ac:dyDescent="0.35">
      <c r="A158" t="s">
        <v>10</v>
      </c>
      <c r="B158">
        <v>269584</v>
      </c>
      <c r="C158">
        <v>269623</v>
      </c>
      <c r="D158" t="s">
        <v>222</v>
      </c>
      <c r="E158">
        <v>1834.6432470133332</v>
      </c>
      <c r="F158" t="s">
        <v>11</v>
      </c>
      <c r="G158">
        <v>269584</v>
      </c>
      <c r="H158">
        <v>269623</v>
      </c>
      <c r="I158" s="3" t="s">
        <v>67</v>
      </c>
      <c r="J158" s="3" t="s">
        <v>68</v>
      </c>
      <c r="K158">
        <v>39</v>
      </c>
      <c r="L158" s="3" t="s">
        <v>69</v>
      </c>
      <c r="M158">
        <v>1588.2312285</v>
      </c>
      <c r="N158">
        <v>1813.08231813</v>
      </c>
      <c r="O158">
        <v>2102.6161944099999</v>
      </c>
      <c r="P158" s="4">
        <f t="shared" si="6"/>
        <v>1834.6432470133332</v>
      </c>
      <c r="Q158" s="4">
        <f t="shared" si="7"/>
        <v>210.54948512450756</v>
      </c>
      <c r="R158" s="4">
        <f t="shared" si="8"/>
        <v>0.11476317560226869</v>
      </c>
      <c r="S158" t="s">
        <v>12</v>
      </c>
    </row>
    <row r="159" spans="1:19" x14ac:dyDescent="0.35">
      <c r="A159" t="s">
        <v>10</v>
      </c>
      <c r="B159">
        <v>43271</v>
      </c>
      <c r="C159">
        <v>43291</v>
      </c>
      <c r="D159" t="s">
        <v>116</v>
      </c>
      <c r="E159">
        <v>1890.10011717</v>
      </c>
      <c r="F159" t="s">
        <v>11</v>
      </c>
      <c r="G159">
        <v>43271</v>
      </c>
      <c r="H159">
        <v>43291</v>
      </c>
      <c r="I159" s="3" t="s">
        <v>67</v>
      </c>
      <c r="J159" s="3" t="s">
        <v>68</v>
      </c>
      <c r="K159">
        <v>20</v>
      </c>
      <c r="L159" s="3" t="s">
        <v>69</v>
      </c>
      <c r="M159">
        <v>2313.88860015</v>
      </c>
      <c r="N159">
        <v>1657.27055642</v>
      </c>
      <c r="O159">
        <v>1699.1411949400001</v>
      </c>
      <c r="P159" s="4">
        <f t="shared" si="6"/>
        <v>1890.10011717</v>
      </c>
      <c r="Q159" s="4">
        <f t="shared" si="7"/>
        <v>300.15084687801686</v>
      </c>
      <c r="R159" s="4">
        <f t="shared" si="8"/>
        <v>0.1588015598493403</v>
      </c>
      <c r="S159" t="s">
        <v>12</v>
      </c>
    </row>
    <row r="160" spans="1:19" x14ac:dyDescent="0.35">
      <c r="A160" t="s">
        <v>10</v>
      </c>
      <c r="B160">
        <v>95384</v>
      </c>
      <c r="C160">
        <v>95400</v>
      </c>
      <c r="D160" t="s">
        <v>152</v>
      </c>
      <c r="E160">
        <v>1976.5102418700001</v>
      </c>
      <c r="F160" t="s">
        <v>13</v>
      </c>
      <c r="G160">
        <v>95384</v>
      </c>
      <c r="H160">
        <v>95400</v>
      </c>
      <c r="I160" s="3" t="s">
        <v>67</v>
      </c>
      <c r="J160" s="3" t="s">
        <v>68</v>
      </c>
      <c r="K160">
        <v>16</v>
      </c>
      <c r="L160" s="3" t="s">
        <v>69</v>
      </c>
      <c r="M160">
        <v>1779.9143078100001</v>
      </c>
      <c r="N160">
        <v>1979.5176090499999</v>
      </c>
      <c r="O160">
        <v>2170.09880875</v>
      </c>
      <c r="P160" s="4">
        <f t="shared" si="6"/>
        <v>1976.5102418700001</v>
      </c>
      <c r="Q160" s="4">
        <f t="shared" si="7"/>
        <v>159.30634929063709</v>
      </c>
      <c r="R160" s="4">
        <f t="shared" si="8"/>
        <v>8.0599809662466229E-2</v>
      </c>
      <c r="S160" t="s">
        <v>12</v>
      </c>
    </row>
    <row r="161" spans="1:19" x14ac:dyDescent="0.35">
      <c r="A161" t="s">
        <v>10</v>
      </c>
      <c r="B161">
        <v>196025</v>
      </c>
      <c r="C161">
        <v>196068</v>
      </c>
      <c r="D161" t="s">
        <v>181</v>
      </c>
      <c r="E161">
        <v>2001.6491542833335</v>
      </c>
      <c r="F161" t="s">
        <v>11</v>
      </c>
      <c r="G161">
        <v>196025</v>
      </c>
      <c r="H161">
        <v>196068</v>
      </c>
      <c r="I161" s="3" t="s">
        <v>67</v>
      </c>
      <c r="J161" s="3" t="s">
        <v>68</v>
      </c>
      <c r="K161">
        <v>43</v>
      </c>
      <c r="L161" s="3" t="s">
        <v>69</v>
      </c>
      <c r="M161">
        <v>2367.6999629400002</v>
      </c>
      <c r="N161">
        <v>1678.6823207100001</v>
      </c>
      <c r="O161">
        <v>1958.5651792000001</v>
      </c>
      <c r="P161" s="4">
        <f t="shared" si="6"/>
        <v>2001.6491542833335</v>
      </c>
      <c r="Q161" s="4">
        <f t="shared" si="7"/>
        <v>282.93520990712534</v>
      </c>
      <c r="R161" s="4">
        <f t="shared" si="8"/>
        <v>0.14135105010869245</v>
      </c>
      <c r="S161" t="s">
        <v>12</v>
      </c>
    </row>
    <row r="162" spans="1:19" x14ac:dyDescent="0.35">
      <c r="A162" t="s">
        <v>10</v>
      </c>
      <c r="B162">
        <v>1828</v>
      </c>
      <c r="C162">
        <v>1871</v>
      </c>
      <c r="D162" t="s">
        <v>86</v>
      </c>
      <c r="E162">
        <v>2103.7818288833332</v>
      </c>
      <c r="F162" t="s">
        <v>11</v>
      </c>
      <c r="G162">
        <v>1828</v>
      </c>
      <c r="H162">
        <v>1871</v>
      </c>
      <c r="I162" s="3" t="s">
        <v>67</v>
      </c>
      <c r="J162" s="3" t="s">
        <v>68</v>
      </c>
      <c r="K162">
        <v>43</v>
      </c>
      <c r="L162" s="3" t="s">
        <v>69</v>
      </c>
      <c r="M162">
        <v>2433.92933253</v>
      </c>
      <c r="N162">
        <v>1798.5882007600001</v>
      </c>
      <c r="O162">
        <v>2078.8279533599998</v>
      </c>
      <c r="P162" s="4">
        <f t="shared" si="6"/>
        <v>2103.7818288833332</v>
      </c>
      <c r="Q162" s="4">
        <f t="shared" si="7"/>
        <v>259.97642246611986</v>
      </c>
      <c r="R162" s="4">
        <f t="shared" si="8"/>
        <v>0.12357575243632216</v>
      </c>
      <c r="S162" t="s">
        <v>12</v>
      </c>
    </row>
    <row r="163" spans="1:19" x14ac:dyDescent="0.35">
      <c r="A163" t="s">
        <v>10</v>
      </c>
      <c r="B163">
        <v>332530</v>
      </c>
      <c r="C163">
        <v>332553</v>
      </c>
      <c r="D163" t="s">
        <v>272</v>
      </c>
      <c r="E163">
        <v>2172.6840290366667</v>
      </c>
      <c r="F163" t="s">
        <v>13</v>
      </c>
      <c r="G163">
        <v>332530</v>
      </c>
      <c r="H163">
        <v>332553</v>
      </c>
      <c r="I163" s="3" t="s">
        <v>67</v>
      </c>
      <c r="J163" s="3" t="s">
        <v>68</v>
      </c>
      <c r="K163">
        <v>23</v>
      </c>
      <c r="L163" s="3" t="s">
        <v>69</v>
      </c>
      <c r="M163">
        <v>2507.3575466500001</v>
      </c>
      <c r="N163">
        <v>1441.1048316700001</v>
      </c>
      <c r="O163">
        <v>2569.5897087899998</v>
      </c>
      <c r="P163" s="4">
        <f t="shared" si="6"/>
        <v>2172.6840290366667</v>
      </c>
      <c r="Q163" s="4">
        <f t="shared" si="7"/>
        <v>517.9281172877802</v>
      </c>
      <c r="R163" s="4">
        <f t="shared" si="8"/>
        <v>0.23838170224752894</v>
      </c>
      <c r="S163" t="s">
        <v>12</v>
      </c>
    </row>
    <row r="164" spans="1:19" x14ac:dyDescent="0.35">
      <c r="A164" t="s">
        <v>10</v>
      </c>
      <c r="B164">
        <v>44732</v>
      </c>
      <c r="C164">
        <v>44748</v>
      </c>
      <c r="D164" t="s">
        <v>118</v>
      </c>
      <c r="E164">
        <v>2182.1169970633332</v>
      </c>
      <c r="F164" t="s">
        <v>13</v>
      </c>
      <c r="G164">
        <v>44732</v>
      </c>
      <c r="H164">
        <v>44748</v>
      </c>
      <c r="I164" s="3" t="s">
        <v>67</v>
      </c>
      <c r="J164" s="3" t="s">
        <v>68</v>
      </c>
      <c r="K164">
        <v>16</v>
      </c>
      <c r="L164" s="3" t="s">
        <v>69</v>
      </c>
      <c r="M164">
        <v>2580.87574632</v>
      </c>
      <c r="N164">
        <v>1795.3764361200001</v>
      </c>
      <c r="O164">
        <v>2170.09880875</v>
      </c>
      <c r="P164" s="4">
        <f t="shared" si="6"/>
        <v>2182.1169970633332</v>
      </c>
      <c r="Q164" s="4">
        <f t="shared" si="7"/>
        <v>320.79133323592214</v>
      </c>
      <c r="R164" s="4">
        <f t="shared" si="8"/>
        <v>0.14700922712560291</v>
      </c>
      <c r="S164" t="s">
        <v>12</v>
      </c>
    </row>
    <row r="165" spans="1:19" x14ac:dyDescent="0.35">
      <c r="A165" t="s">
        <v>10</v>
      </c>
      <c r="B165">
        <v>124182</v>
      </c>
      <c r="C165">
        <v>124217</v>
      </c>
      <c r="D165" t="s">
        <v>166</v>
      </c>
      <c r="E165">
        <v>2299.9643552666671</v>
      </c>
      <c r="F165" t="s">
        <v>11</v>
      </c>
      <c r="G165">
        <v>124182</v>
      </c>
      <c r="H165">
        <v>124217</v>
      </c>
      <c r="I165" s="3" t="s">
        <v>67</v>
      </c>
      <c r="J165" s="3" t="s">
        <v>68</v>
      </c>
      <c r="K165">
        <v>35</v>
      </c>
      <c r="L165" s="3" t="s">
        <v>69</v>
      </c>
      <c r="M165">
        <v>2135.89716937</v>
      </c>
      <c r="N165">
        <v>2104.4705478300002</v>
      </c>
      <c r="O165">
        <v>2659.5253486000001</v>
      </c>
      <c r="P165" s="4">
        <f t="shared" si="6"/>
        <v>2299.9643552666671</v>
      </c>
      <c r="Q165" s="4">
        <f t="shared" si="7"/>
        <v>254.57152116251129</v>
      </c>
      <c r="R165" s="4">
        <f t="shared" si="8"/>
        <v>0.11068498543447872</v>
      </c>
      <c r="S165" t="s">
        <v>12</v>
      </c>
    </row>
    <row r="166" spans="1:19" x14ac:dyDescent="0.35">
      <c r="A166" t="s">
        <v>10</v>
      </c>
      <c r="B166">
        <v>171043</v>
      </c>
      <c r="C166">
        <v>171057</v>
      </c>
      <c r="D166" t="s">
        <v>175</v>
      </c>
      <c r="E166">
        <v>2307.5895786400001</v>
      </c>
      <c r="F166" t="s">
        <v>13</v>
      </c>
      <c r="G166">
        <v>171043</v>
      </c>
      <c r="H166">
        <v>171057</v>
      </c>
      <c r="I166" s="3" t="s">
        <v>67</v>
      </c>
      <c r="J166" s="3" t="s">
        <v>68</v>
      </c>
      <c r="K166">
        <v>14</v>
      </c>
      <c r="L166" s="3" t="s">
        <v>69</v>
      </c>
      <c r="M166">
        <v>2390.1706419100001</v>
      </c>
      <c r="N166">
        <v>1841.4117293500001</v>
      </c>
      <c r="O166">
        <v>2691.18636466</v>
      </c>
      <c r="P166" s="4">
        <f t="shared" si="6"/>
        <v>2307.5895786400001</v>
      </c>
      <c r="Q166" s="4">
        <f t="shared" si="7"/>
        <v>351.7991441264582</v>
      </c>
      <c r="R166" s="4">
        <f t="shared" si="8"/>
        <v>0.15245308237775732</v>
      </c>
      <c r="S166" t="s">
        <v>12</v>
      </c>
    </row>
    <row r="167" spans="1:19" x14ac:dyDescent="0.35">
      <c r="A167" t="s">
        <v>10</v>
      </c>
      <c r="B167">
        <v>43395</v>
      </c>
      <c r="C167">
        <v>43409</v>
      </c>
      <c r="D167" t="s">
        <v>117</v>
      </c>
      <c r="E167">
        <v>2374.4969554633335</v>
      </c>
      <c r="F167" t="s">
        <v>13</v>
      </c>
      <c r="G167">
        <v>43395</v>
      </c>
      <c r="H167">
        <v>43409</v>
      </c>
      <c r="I167" s="3" t="s">
        <v>67</v>
      </c>
      <c r="J167" s="3" t="s">
        <v>68</v>
      </c>
      <c r="K167">
        <v>14</v>
      </c>
      <c r="L167" s="3" t="s">
        <v>69</v>
      </c>
      <c r="M167">
        <v>2644.4441144500001</v>
      </c>
      <c r="N167">
        <v>2104.4705478300002</v>
      </c>
      <c r="O167">
        <v>2374.5762041100002</v>
      </c>
      <c r="P167" s="4">
        <f t="shared" si="6"/>
        <v>2374.4969554633335</v>
      </c>
      <c r="Q167" s="4">
        <f t="shared" si="7"/>
        <v>220.44329259069761</v>
      </c>
      <c r="R167" s="4">
        <f t="shared" si="8"/>
        <v>9.2837892288509041E-2</v>
      </c>
      <c r="S167" t="s">
        <v>12</v>
      </c>
    </row>
    <row r="168" spans="1:19" x14ac:dyDescent="0.35">
      <c r="A168" t="s">
        <v>10</v>
      </c>
      <c r="B168">
        <v>264198</v>
      </c>
      <c r="C168">
        <v>264237</v>
      </c>
      <c r="D168" t="s">
        <v>219</v>
      </c>
      <c r="E168">
        <v>2474.7329117933332</v>
      </c>
      <c r="F168" t="s">
        <v>11</v>
      </c>
      <c r="G168">
        <v>264198</v>
      </c>
      <c r="H168">
        <v>264237</v>
      </c>
      <c r="I168" s="3" t="s">
        <v>67</v>
      </c>
      <c r="J168" s="3" t="s">
        <v>68</v>
      </c>
      <c r="K168">
        <v>39</v>
      </c>
      <c r="L168" s="3" t="s">
        <v>69</v>
      </c>
      <c r="M168">
        <v>2336.7080143500002</v>
      </c>
      <c r="N168">
        <v>2700.7372030500001</v>
      </c>
      <c r="O168">
        <v>2386.7535179800002</v>
      </c>
      <c r="P168" s="4">
        <f t="shared" si="6"/>
        <v>2474.7329117933332</v>
      </c>
      <c r="Q168" s="4">
        <f t="shared" si="7"/>
        <v>161.10988560237641</v>
      </c>
      <c r="R168" s="4">
        <f t="shared" si="8"/>
        <v>6.5101928711016721E-2</v>
      </c>
      <c r="S168" t="s">
        <v>12</v>
      </c>
    </row>
    <row r="169" spans="1:19" x14ac:dyDescent="0.35">
      <c r="A169" t="s">
        <v>10</v>
      </c>
      <c r="B169">
        <v>66871</v>
      </c>
      <c r="C169">
        <v>66910</v>
      </c>
      <c r="D169" t="s">
        <v>127</v>
      </c>
      <c r="E169">
        <v>2498.1910245733338</v>
      </c>
      <c r="F169" t="s">
        <v>11</v>
      </c>
      <c r="G169">
        <v>66871</v>
      </c>
      <c r="H169">
        <v>66910</v>
      </c>
      <c r="I169" s="3" t="s">
        <v>67</v>
      </c>
      <c r="J169" s="3" t="s">
        <v>68</v>
      </c>
      <c r="K169">
        <v>39</v>
      </c>
      <c r="L169" s="3" t="s">
        <v>69</v>
      </c>
      <c r="M169">
        <v>2501.0077966099998</v>
      </c>
      <c r="N169">
        <v>2436.3293649900002</v>
      </c>
      <c r="O169">
        <v>2557.2359121200002</v>
      </c>
      <c r="P169" s="4">
        <f t="shared" si="6"/>
        <v>2498.1910245733338</v>
      </c>
      <c r="Q169" s="4">
        <f t="shared" si="7"/>
        <v>49.40006031207276</v>
      </c>
      <c r="R169" s="4">
        <f t="shared" si="8"/>
        <v>1.9774332637557131E-2</v>
      </c>
      <c r="S169" t="s">
        <v>12</v>
      </c>
    </row>
    <row r="170" spans="1:19" x14ac:dyDescent="0.35">
      <c r="A170" t="s">
        <v>10</v>
      </c>
      <c r="B170">
        <v>287686</v>
      </c>
      <c r="C170">
        <v>287709</v>
      </c>
      <c r="D170" t="s">
        <v>245</v>
      </c>
      <c r="E170">
        <v>2598.926264676667</v>
      </c>
      <c r="F170" t="s">
        <v>11</v>
      </c>
      <c r="G170">
        <v>287686</v>
      </c>
      <c r="H170">
        <v>287709</v>
      </c>
      <c r="I170" s="3" t="s">
        <v>67</v>
      </c>
      <c r="J170" s="3" t="s">
        <v>68</v>
      </c>
      <c r="K170">
        <v>23</v>
      </c>
      <c r="L170" s="3" t="s">
        <v>69</v>
      </c>
      <c r="M170">
        <v>2600.2226409700002</v>
      </c>
      <c r="N170">
        <v>2305.7677306700002</v>
      </c>
      <c r="O170">
        <v>2890.7884223900001</v>
      </c>
      <c r="P170" s="4">
        <f t="shared" si="6"/>
        <v>2598.926264676667</v>
      </c>
      <c r="Q170" s="4">
        <f t="shared" si="7"/>
        <v>238.83545643916611</v>
      </c>
      <c r="R170" s="4">
        <f t="shared" si="8"/>
        <v>9.189774241974491E-2</v>
      </c>
      <c r="S170" t="s">
        <v>12</v>
      </c>
    </row>
    <row r="171" spans="1:19" x14ac:dyDescent="0.35">
      <c r="A171" t="s">
        <v>10</v>
      </c>
      <c r="B171">
        <v>93683</v>
      </c>
      <c r="C171">
        <v>93706</v>
      </c>
      <c r="D171" t="s">
        <v>150</v>
      </c>
      <c r="E171">
        <v>2656.8715596266666</v>
      </c>
      <c r="F171" t="s">
        <v>13</v>
      </c>
      <c r="G171">
        <v>93683</v>
      </c>
      <c r="H171">
        <v>93706</v>
      </c>
      <c r="I171" s="3" t="s">
        <v>67</v>
      </c>
      <c r="J171" s="3" t="s">
        <v>68</v>
      </c>
      <c r="K171">
        <v>23</v>
      </c>
      <c r="L171" s="3" t="s">
        <v>69</v>
      </c>
      <c r="M171">
        <v>2197.8072322500002</v>
      </c>
      <c r="N171">
        <v>2946.2587669599998</v>
      </c>
      <c r="O171">
        <v>2826.5486796700002</v>
      </c>
      <c r="P171" s="4">
        <f t="shared" si="6"/>
        <v>2656.8715596266666</v>
      </c>
      <c r="Q171" s="4">
        <f t="shared" si="7"/>
        <v>328.26581581810507</v>
      </c>
      <c r="R171" s="4">
        <f t="shared" si="8"/>
        <v>0.12355351339009844</v>
      </c>
      <c r="S171" t="s">
        <v>12</v>
      </c>
    </row>
    <row r="172" spans="1:19" x14ac:dyDescent="0.35">
      <c r="A172" t="s">
        <v>10</v>
      </c>
      <c r="B172">
        <v>232025</v>
      </c>
      <c r="C172">
        <v>232048</v>
      </c>
      <c r="D172" t="s">
        <v>202</v>
      </c>
      <c r="E172">
        <v>2674.2361397666664</v>
      </c>
      <c r="F172" t="s">
        <v>11</v>
      </c>
      <c r="G172">
        <v>232025</v>
      </c>
      <c r="H172">
        <v>232048</v>
      </c>
      <c r="I172" s="3" t="s">
        <v>67</v>
      </c>
      <c r="J172" s="3" t="s">
        <v>68</v>
      </c>
      <c r="K172">
        <v>23</v>
      </c>
      <c r="L172" s="3" t="s">
        <v>69</v>
      </c>
      <c r="M172">
        <v>2538.31257809</v>
      </c>
      <c r="N172">
        <v>2722.0869042600002</v>
      </c>
      <c r="O172">
        <v>2762.3089369499999</v>
      </c>
      <c r="P172" s="4">
        <f t="shared" si="6"/>
        <v>2674.2361397666664</v>
      </c>
      <c r="Q172" s="4">
        <f t="shared" si="7"/>
        <v>97.505090269112998</v>
      </c>
      <c r="R172" s="4">
        <f t="shared" si="8"/>
        <v>3.6460912639382906E-2</v>
      </c>
      <c r="S172" t="s">
        <v>12</v>
      </c>
    </row>
    <row r="173" spans="1:19" x14ac:dyDescent="0.35">
      <c r="A173" t="s">
        <v>10</v>
      </c>
      <c r="B173">
        <v>234204</v>
      </c>
      <c r="C173">
        <v>234221</v>
      </c>
      <c r="D173" t="s">
        <v>204</v>
      </c>
      <c r="E173">
        <v>2831.1326161466664</v>
      </c>
      <c r="F173" t="s">
        <v>13</v>
      </c>
      <c r="G173">
        <v>234204</v>
      </c>
      <c r="H173">
        <v>234221</v>
      </c>
      <c r="I173" s="3" t="s">
        <v>67</v>
      </c>
      <c r="J173" s="3" t="s">
        <v>68</v>
      </c>
      <c r="K173">
        <v>17</v>
      </c>
      <c r="L173" s="3" t="s">
        <v>69</v>
      </c>
      <c r="M173">
        <v>2722.2218825300001</v>
      </c>
      <c r="N173">
        <v>2859.60409734</v>
      </c>
      <c r="O173">
        <v>2911.5718685699999</v>
      </c>
      <c r="P173" s="4">
        <f t="shared" si="6"/>
        <v>2831.1326161466664</v>
      </c>
      <c r="Q173" s="4">
        <f t="shared" si="7"/>
        <v>79.880424111475406</v>
      </c>
      <c r="R173" s="4">
        <f t="shared" si="8"/>
        <v>2.8215006127193448E-2</v>
      </c>
      <c r="S173" t="s">
        <v>12</v>
      </c>
    </row>
    <row r="174" spans="1:19" x14ac:dyDescent="0.35">
      <c r="A174" t="s">
        <v>10</v>
      </c>
      <c r="B174">
        <v>41977</v>
      </c>
      <c r="C174">
        <v>42017</v>
      </c>
      <c r="D174" t="s">
        <v>114</v>
      </c>
      <c r="E174">
        <v>3157.7604194433334</v>
      </c>
      <c r="F174" t="s">
        <v>13</v>
      </c>
      <c r="G174">
        <v>41977</v>
      </c>
      <c r="H174">
        <v>42017</v>
      </c>
      <c r="I174" s="3" t="s">
        <v>67</v>
      </c>
      <c r="J174" s="3" t="s">
        <v>68</v>
      </c>
      <c r="K174">
        <v>40</v>
      </c>
      <c r="L174" s="3" t="s">
        <v>69</v>
      </c>
      <c r="M174">
        <v>3239.4440402099999</v>
      </c>
      <c r="N174">
        <v>2909.43053237</v>
      </c>
      <c r="O174">
        <v>3324.4066857500002</v>
      </c>
      <c r="P174" s="4">
        <f t="shared" si="6"/>
        <v>3157.7604194433334</v>
      </c>
      <c r="Q174" s="4">
        <f t="shared" si="7"/>
        <v>178.98875643399094</v>
      </c>
      <c r="R174" s="4">
        <f t="shared" si="8"/>
        <v>5.6682183781866527E-2</v>
      </c>
      <c r="S174" t="s">
        <v>12</v>
      </c>
    </row>
    <row r="175" spans="1:19" x14ac:dyDescent="0.35">
      <c r="A175" t="s">
        <v>10</v>
      </c>
      <c r="B175">
        <v>57936</v>
      </c>
      <c r="C175">
        <v>57959</v>
      </c>
      <c r="D175" t="s">
        <v>124</v>
      </c>
      <c r="E175">
        <v>3199.2496375200003</v>
      </c>
      <c r="F175" t="s">
        <v>11</v>
      </c>
      <c r="G175">
        <v>57936</v>
      </c>
      <c r="H175">
        <v>57959</v>
      </c>
      <c r="I175" s="3" t="s">
        <v>67</v>
      </c>
      <c r="J175" s="3" t="s">
        <v>68</v>
      </c>
      <c r="K175">
        <v>23</v>
      </c>
      <c r="L175" s="3" t="s">
        <v>69</v>
      </c>
      <c r="M175">
        <v>3343.1433955299999</v>
      </c>
      <c r="N175">
        <v>2946.2587669599998</v>
      </c>
      <c r="O175">
        <v>3308.3467500699999</v>
      </c>
      <c r="P175" s="4">
        <f t="shared" si="6"/>
        <v>3199.2496375200003</v>
      </c>
      <c r="Q175" s="4">
        <f t="shared" si="7"/>
        <v>179.45470565734644</v>
      </c>
      <c r="R175" s="4">
        <f t="shared" si="8"/>
        <v>5.6092748609782271E-2</v>
      </c>
      <c r="S175" t="s">
        <v>12</v>
      </c>
    </row>
    <row r="176" spans="1:19" x14ac:dyDescent="0.35">
      <c r="A176" t="s">
        <v>10</v>
      </c>
      <c r="B176">
        <v>79375</v>
      </c>
      <c r="C176">
        <v>79398</v>
      </c>
      <c r="D176" t="s">
        <v>137</v>
      </c>
      <c r="E176">
        <v>3567.5535799999998</v>
      </c>
      <c r="F176" t="s">
        <v>13</v>
      </c>
      <c r="G176">
        <v>79375</v>
      </c>
      <c r="H176">
        <v>79398</v>
      </c>
      <c r="I176" s="3" t="s">
        <v>67</v>
      </c>
      <c r="J176" s="3" t="s">
        <v>68</v>
      </c>
      <c r="K176">
        <v>23</v>
      </c>
      <c r="L176" s="3" t="s">
        <v>69</v>
      </c>
      <c r="M176">
        <v>3807.46886713</v>
      </c>
      <c r="N176">
        <v>3554.7252514400002</v>
      </c>
      <c r="O176">
        <v>3340.46662143</v>
      </c>
      <c r="P176" s="4">
        <f t="shared" si="6"/>
        <v>3567.5535799999998</v>
      </c>
      <c r="Q176" s="4">
        <f t="shared" si="7"/>
        <v>190.8685391963856</v>
      </c>
      <c r="R176" s="4">
        <f t="shared" si="8"/>
        <v>5.3501239691650437E-2</v>
      </c>
      <c r="S176" t="s">
        <v>12</v>
      </c>
    </row>
    <row r="177" spans="1:19" x14ac:dyDescent="0.35">
      <c r="A177" t="s">
        <v>10</v>
      </c>
      <c r="B177">
        <v>79507</v>
      </c>
      <c r="C177">
        <v>79530</v>
      </c>
      <c r="D177" t="s">
        <v>138</v>
      </c>
      <c r="E177">
        <v>3642.9517728433334</v>
      </c>
      <c r="F177" t="s">
        <v>13</v>
      </c>
      <c r="G177">
        <v>79507</v>
      </c>
      <c r="H177">
        <v>79530</v>
      </c>
      <c r="I177" s="3" t="s">
        <v>67</v>
      </c>
      <c r="J177" s="3" t="s">
        <v>68</v>
      </c>
      <c r="K177">
        <v>23</v>
      </c>
      <c r="L177" s="3" t="s">
        <v>69</v>
      </c>
      <c r="M177">
        <v>3776.5138356900002</v>
      </c>
      <c r="N177">
        <v>3490.6761478100002</v>
      </c>
      <c r="O177">
        <v>3661.6653350299998</v>
      </c>
      <c r="P177" s="4">
        <f t="shared" si="6"/>
        <v>3642.9517728433334</v>
      </c>
      <c r="Q177" s="4">
        <f t="shared" si="7"/>
        <v>117.44060629507366</v>
      </c>
      <c r="R177" s="4">
        <f t="shared" si="8"/>
        <v>3.2237760370736661E-2</v>
      </c>
      <c r="S177" t="s">
        <v>12</v>
      </c>
    </row>
    <row r="178" spans="1:19" x14ac:dyDescent="0.35">
      <c r="A178" t="s">
        <v>10</v>
      </c>
      <c r="B178">
        <v>222183</v>
      </c>
      <c r="C178">
        <v>222204</v>
      </c>
      <c r="D178" t="s">
        <v>193</v>
      </c>
      <c r="E178">
        <v>3688.7928971366669</v>
      </c>
      <c r="F178" t="s">
        <v>13</v>
      </c>
      <c r="G178">
        <v>222183</v>
      </c>
      <c r="H178">
        <v>222204</v>
      </c>
      <c r="I178" s="3" t="s">
        <v>67</v>
      </c>
      <c r="J178" s="3" t="s">
        <v>68</v>
      </c>
      <c r="K178">
        <v>21</v>
      </c>
      <c r="L178" s="3" t="s">
        <v>69</v>
      </c>
      <c r="M178">
        <v>3898.8599123399999</v>
      </c>
      <c r="N178">
        <v>3016.4077852199998</v>
      </c>
      <c r="O178">
        <v>4151.1109938500003</v>
      </c>
      <c r="P178" s="4">
        <f t="shared" si="6"/>
        <v>3688.7928971366669</v>
      </c>
      <c r="Q178" s="4">
        <f t="shared" si="7"/>
        <v>486.47299073784166</v>
      </c>
      <c r="R178" s="4">
        <f t="shared" si="8"/>
        <v>0.13187864006012756</v>
      </c>
      <c r="S178" t="s">
        <v>12</v>
      </c>
    </row>
    <row r="179" spans="1:19" x14ac:dyDescent="0.35">
      <c r="A179" t="s">
        <v>10</v>
      </c>
      <c r="B179">
        <v>97311</v>
      </c>
      <c r="C179">
        <v>97334</v>
      </c>
      <c r="D179" t="s">
        <v>153</v>
      </c>
      <c r="E179">
        <v>3725.0918215466668</v>
      </c>
      <c r="F179" t="s">
        <v>13</v>
      </c>
      <c r="G179">
        <v>97311</v>
      </c>
      <c r="H179">
        <v>97334</v>
      </c>
      <c r="I179" s="3" t="s">
        <v>67</v>
      </c>
      <c r="J179" s="3" t="s">
        <v>68</v>
      </c>
      <c r="K179">
        <v>23</v>
      </c>
      <c r="L179" s="3" t="s">
        <v>69</v>
      </c>
      <c r="M179">
        <v>3157.4132068899999</v>
      </c>
      <c r="N179">
        <v>4067.1180804800001</v>
      </c>
      <c r="O179">
        <v>3950.7441772699999</v>
      </c>
      <c r="P179" s="4">
        <f t="shared" si="6"/>
        <v>3725.0918215466668</v>
      </c>
      <c r="Q179" s="4">
        <f t="shared" si="7"/>
        <v>404.21114819770747</v>
      </c>
      <c r="R179" s="4">
        <f t="shared" si="8"/>
        <v>0.10851038512921221</v>
      </c>
      <c r="S179" t="s">
        <v>12</v>
      </c>
    </row>
    <row r="180" spans="1:19" x14ac:dyDescent="0.35">
      <c r="A180" t="s">
        <v>10</v>
      </c>
      <c r="B180">
        <v>165659</v>
      </c>
      <c r="C180">
        <v>165699</v>
      </c>
      <c r="D180" t="s">
        <v>174</v>
      </c>
      <c r="E180">
        <v>3784.4579221299996</v>
      </c>
      <c r="F180" t="s">
        <v>13</v>
      </c>
      <c r="G180">
        <v>165659</v>
      </c>
      <c r="H180">
        <v>165699</v>
      </c>
      <c r="I180" s="3" t="s">
        <v>67</v>
      </c>
      <c r="J180" s="3" t="s">
        <v>68</v>
      </c>
      <c r="K180">
        <v>40</v>
      </c>
      <c r="L180" s="3" t="s">
        <v>69</v>
      </c>
      <c r="M180">
        <v>3737.8200463899998</v>
      </c>
      <c r="N180">
        <v>4069.51992187</v>
      </c>
      <c r="O180">
        <v>3546.0337981299999</v>
      </c>
      <c r="P180" s="4">
        <f t="shared" si="6"/>
        <v>3784.4579221299996</v>
      </c>
      <c r="Q180" s="4">
        <f t="shared" si="7"/>
        <v>216.24176134940174</v>
      </c>
      <c r="R180" s="4">
        <f t="shared" si="8"/>
        <v>5.7139428102742591E-2</v>
      </c>
      <c r="S180" t="s">
        <v>12</v>
      </c>
    </row>
    <row r="181" spans="1:19" x14ac:dyDescent="0.35">
      <c r="A181" t="s">
        <v>10</v>
      </c>
      <c r="B181">
        <v>243777</v>
      </c>
      <c r="C181">
        <v>243799</v>
      </c>
      <c r="D181" t="s">
        <v>211</v>
      </c>
      <c r="E181">
        <v>3899.8101663300004</v>
      </c>
      <c r="F181" t="s">
        <v>13</v>
      </c>
      <c r="G181">
        <v>243777</v>
      </c>
      <c r="H181">
        <v>243799</v>
      </c>
      <c r="I181" s="3" t="s">
        <v>67</v>
      </c>
      <c r="J181" s="3" t="s">
        <v>68</v>
      </c>
      <c r="K181">
        <v>22</v>
      </c>
      <c r="L181" s="3" t="s">
        <v>69</v>
      </c>
      <c r="M181">
        <v>3818.7252422000001</v>
      </c>
      <c r="N181">
        <v>3548.9026056600001</v>
      </c>
      <c r="O181">
        <v>4331.8026511300004</v>
      </c>
      <c r="P181" s="4">
        <f t="shared" si="6"/>
        <v>3899.8101663300004</v>
      </c>
      <c r="Q181" s="4">
        <f t="shared" si="7"/>
        <v>324.71956515338798</v>
      </c>
      <c r="R181" s="4">
        <f t="shared" si="8"/>
        <v>8.3265479934622633E-2</v>
      </c>
      <c r="S181" t="s">
        <v>12</v>
      </c>
    </row>
    <row r="182" spans="1:19" x14ac:dyDescent="0.35">
      <c r="A182" t="s">
        <v>10</v>
      </c>
      <c r="B182">
        <v>230770</v>
      </c>
      <c r="C182">
        <v>230793</v>
      </c>
      <c r="D182" t="s">
        <v>201</v>
      </c>
      <c r="E182">
        <v>4317.2473113666665</v>
      </c>
      <c r="F182" t="s">
        <v>11</v>
      </c>
      <c r="G182">
        <v>230770</v>
      </c>
      <c r="H182">
        <v>230793</v>
      </c>
      <c r="I182" s="3" t="s">
        <v>67</v>
      </c>
      <c r="J182" s="3" t="s">
        <v>68</v>
      </c>
      <c r="K182">
        <v>23</v>
      </c>
      <c r="L182" s="3" t="s">
        <v>69</v>
      </c>
      <c r="M182">
        <v>4612.29968457</v>
      </c>
      <c r="N182">
        <v>3939.0198732200001</v>
      </c>
      <c r="O182">
        <v>4400.4223763099999</v>
      </c>
      <c r="P182" s="4">
        <f t="shared" si="6"/>
        <v>4317.2473113666665</v>
      </c>
      <c r="Q182" s="4">
        <f t="shared" si="7"/>
        <v>281.0871687621933</v>
      </c>
      <c r="R182" s="4">
        <f t="shared" si="8"/>
        <v>6.5107960811541382E-2</v>
      </c>
      <c r="S182" t="s">
        <v>12</v>
      </c>
    </row>
    <row r="183" spans="1:19" x14ac:dyDescent="0.35">
      <c r="A183" t="s">
        <v>10</v>
      </c>
      <c r="B183">
        <v>222339</v>
      </c>
      <c r="C183">
        <v>222362</v>
      </c>
      <c r="D183" t="s">
        <v>194</v>
      </c>
      <c r="E183">
        <v>4755.2974643500002</v>
      </c>
      <c r="F183" t="s">
        <v>13</v>
      </c>
      <c r="G183">
        <v>222339</v>
      </c>
      <c r="H183">
        <v>222362</v>
      </c>
      <c r="I183" s="3" t="s">
        <v>67</v>
      </c>
      <c r="J183" s="3" t="s">
        <v>68</v>
      </c>
      <c r="K183">
        <v>23</v>
      </c>
      <c r="L183" s="3" t="s">
        <v>69</v>
      </c>
      <c r="M183">
        <v>4612.29968457</v>
      </c>
      <c r="N183">
        <v>4867.7318758499996</v>
      </c>
      <c r="O183">
        <v>4785.86083263</v>
      </c>
      <c r="P183" s="4">
        <f t="shared" si="6"/>
        <v>4755.2974643500002</v>
      </c>
      <c r="Q183" s="4">
        <f t="shared" si="7"/>
        <v>106.49566719195597</v>
      </c>
      <c r="R183" s="4">
        <f t="shared" si="8"/>
        <v>2.2395164128078963E-2</v>
      </c>
      <c r="S183" t="s">
        <v>12</v>
      </c>
    </row>
    <row r="184" spans="1:19" x14ac:dyDescent="0.35">
      <c r="A184" t="s">
        <v>10</v>
      </c>
      <c r="B184">
        <v>332454</v>
      </c>
      <c r="C184">
        <v>332475</v>
      </c>
      <c r="D184" t="s">
        <v>271</v>
      </c>
      <c r="E184">
        <v>4839.5059399633328</v>
      </c>
      <c r="F184" t="s">
        <v>11</v>
      </c>
      <c r="G184">
        <v>332454</v>
      </c>
      <c r="H184">
        <v>332475</v>
      </c>
      <c r="I184" s="3" t="s">
        <v>67</v>
      </c>
      <c r="J184" s="3" t="s">
        <v>68</v>
      </c>
      <c r="K184">
        <v>21</v>
      </c>
      <c r="L184" s="3" t="s">
        <v>69</v>
      </c>
      <c r="M184">
        <v>4644.7287651300003</v>
      </c>
      <c r="N184">
        <v>3858.1960043499998</v>
      </c>
      <c r="O184">
        <v>6015.5930504099997</v>
      </c>
      <c r="P184" s="4">
        <f t="shared" si="6"/>
        <v>4839.5059399633328</v>
      </c>
      <c r="Q184" s="4">
        <f t="shared" si="7"/>
        <v>891.45727677182367</v>
      </c>
      <c r="R184" s="4">
        <f t="shared" si="8"/>
        <v>0.18420419105396901</v>
      </c>
      <c r="S184" t="s">
        <v>12</v>
      </c>
    </row>
    <row r="185" spans="1:19" x14ac:dyDescent="0.35">
      <c r="A185" t="s">
        <v>10</v>
      </c>
      <c r="B185">
        <v>241575</v>
      </c>
      <c r="C185">
        <v>241589</v>
      </c>
      <c r="D185" t="s">
        <v>210</v>
      </c>
      <c r="E185">
        <v>5062.7278216266668</v>
      </c>
      <c r="F185" t="s">
        <v>13</v>
      </c>
      <c r="G185">
        <v>241575</v>
      </c>
      <c r="H185">
        <v>241589</v>
      </c>
      <c r="I185" s="3" t="s">
        <v>67</v>
      </c>
      <c r="J185" s="3" t="s">
        <v>68</v>
      </c>
      <c r="K185">
        <v>14</v>
      </c>
      <c r="L185" s="3" t="s">
        <v>69</v>
      </c>
      <c r="M185">
        <v>5543.1617014499998</v>
      </c>
      <c r="N185">
        <v>3893.2705134799999</v>
      </c>
      <c r="O185">
        <v>5751.7512499499999</v>
      </c>
      <c r="P185" s="4">
        <f t="shared" si="6"/>
        <v>5062.7278216266668</v>
      </c>
      <c r="Q185" s="4">
        <f t="shared" si="7"/>
        <v>831.30427506783519</v>
      </c>
      <c r="R185" s="4">
        <f t="shared" si="8"/>
        <v>0.16420086253041649</v>
      </c>
      <c r="S185" t="s">
        <v>12</v>
      </c>
    </row>
    <row r="186" spans="1:19" x14ac:dyDescent="0.35">
      <c r="A186" t="s">
        <v>10</v>
      </c>
      <c r="B186">
        <v>17734</v>
      </c>
      <c r="C186">
        <v>17754</v>
      </c>
      <c r="D186" t="s">
        <v>95</v>
      </c>
      <c r="E186">
        <v>5514.1161689699993</v>
      </c>
      <c r="F186" t="s">
        <v>11</v>
      </c>
      <c r="G186">
        <v>17734</v>
      </c>
      <c r="H186">
        <v>17754</v>
      </c>
      <c r="I186" s="3" t="s">
        <v>67</v>
      </c>
      <c r="J186" s="3" t="s">
        <v>68</v>
      </c>
      <c r="K186">
        <v>20</v>
      </c>
      <c r="L186" s="3" t="s">
        <v>69</v>
      </c>
      <c r="M186">
        <v>5624.5292126699997</v>
      </c>
      <c r="N186">
        <v>5303.2657805299996</v>
      </c>
      <c r="O186">
        <v>5614.5535137099996</v>
      </c>
      <c r="P186" s="4">
        <f t="shared" si="6"/>
        <v>5514.1161689699993</v>
      </c>
      <c r="Q186" s="4">
        <f t="shared" si="7"/>
        <v>149.14935103537283</v>
      </c>
      <c r="R186" s="4">
        <f t="shared" si="8"/>
        <v>2.7048641425926459E-2</v>
      </c>
      <c r="S186" t="s">
        <v>12</v>
      </c>
    </row>
    <row r="187" spans="1:19" x14ac:dyDescent="0.35">
      <c r="A187" t="s">
        <v>10</v>
      </c>
      <c r="B187">
        <v>270131</v>
      </c>
      <c r="C187">
        <v>270152</v>
      </c>
      <c r="D187" t="s">
        <v>223</v>
      </c>
      <c r="E187">
        <v>5968.1945741733334</v>
      </c>
      <c r="F187" t="s">
        <v>11</v>
      </c>
      <c r="G187">
        <v>270131</v>
      </c>
      <c r="H187">
        <v>270152</v>
      </c>
      <c r="I187" s="3" t="s">
        <v>67</v>
      </c>
      <c r="J187" s="3" t="s">
        <v>68</v>
      </c>
      <c r="K187">
        <v>21</v>
      </c>
      <c r="L187" s="3" t="s">
        <v>69</v>
      </c>
      <c r="M187">
        <v>7221.36662024</v>
      </c>
      <c r="N187">
        <v>3752.9724769600002</v>
      </c>
      <c r="O187">
        <v>6930.2446253199996</v>
      </c>
      <c r="P187" s="4">
        <f t="shared" si="6"/>
        <v>5968.1945741733334</v>
      </c>
      <c r="Q187" s="4">
        <f t="shared" si="7"/>
        <v>1570.9009535864488</v>
      </c>
      <c r="R187" s="4">
        <f t="shared" si="8"/>
        <v>0.2632120876863398</v>
      </c>
      <c r="S187" t="s">
        <v>12</v>
      </c>
    </row>
    <row r="188" spans="1:19" x14ac:dyDescent="0.35">
      <c r="A188" t="s">
        <v>10</v>
      </c>
      <c r="B188">
        <v>265827</v>
      </c>
      <c r="C188">
        <v>265844</v>
      </c>
      <c r="D188" t="s">
        <v>220</v>
      </c>
      <c r="E188">
        <v>6363.6747088266666</v>
      </c>
      <c r="F188" t="s">
        <v>11</v>
      </c>
      <c r="G188">
        <v>265827</v>
      </c>
      <c r="H188">
        <v>265844</v>
      </c>
      <c r="I188" s="3" t="s">
        <v>67</v>
      </c>
      <c r="J188" s="3" t="s">
        <v>68</v>
      </c>
      <c r="K188">
        <v>17</v>
      </c>
      <c r="L188" s="3" t="s">
        <v>69</v>
      </c>
      <c r="M188">
        <v>5988.8881415599999</v>
      </c>
      <c r="N188">
        <v>7278.99224779</v>
      </c>
      <c r="O188">
        <v>5823.1437371299999</v>
      </c>
      <c r="P188" s="4">
        <f t="shared" si="6"/>
        <v>6363.6747088266666</v>
      </c>
      <c r="Q188" s="4">
        <f t="shared" si="7"/>
        <v>650.75466434511441</v>
      </c>
      <c r="R188" s="4">
        <f t="shared" si="8"/>
        <v>0.10226083106392791</v>
      </c>
      <c r="S188" t="s">
        <v>12</v>
      </c>
    </row>
    <row r="189" spans="1:19" x14ac:dyDescent="0.35">
      <c r="A189" t="s">
        <v>10</v>
      </c>
      <c r="B189">
        <v>361000</v>
      </c>
      <c r="C189">
        <v>361023</v>
      </c>
      <c r="D189" t="s">
        <v>288</v>
      </c>
      <c r="E189">
        <v>6808.77183676</v>
      </c>
      <c r="F189" t="s">
        <v>11</v>
      </c>
      <c r="G189">
        <v>361000</v>
      </c>
      <c r="H189">
        <v>361023</v>
      </c>
      <c r="I189" s="3" t="s">
        <v>67</v>
      </c>
      <c r="J189" s="3" t="s">
        <v>68</v>
      </c>
      <c r="K189">
        <v>23</v>
      </c>
      <c r="L189" s="3" t="s">
        <v>69</v>
      </c>
      <c r="M189">
        <v>7150.6122626599999</v>
      </c>
      <c r="N189">
        <v>7365.6469174000003</v>
      </c>
      <c r="O189">
        <v>5910.0563302199998</v>
      </c>
      <c r="P189" s="4">
        <f t="shared" si="6"/>
        <v>6808.77183676</v>
      </c>
      <c r="Q189" s="4">
        <f t="shared" si="7"/>
        <v>641.52274418312697</v>
      </c>
      <c r="R189" s="4">
        <f t="shared" si="8"/>
        <v>9.422003843917906E-2</v>
      </c>
      <c r="S189" t="s">
        <v>12</v>
      </c>
    </row>
    <row r="190" spans="1:19" x14ac:dyDescent="0.35">
      <c r="A190" t="s">
        <v>10</v>
      </c>
      <c r="B190">
        <v>270207</v>
      </c>
      <c r="C190">
        <v>270230</v>
      </c>
      <c r="D190" t="s">
        <v>224</v>
      </c>
      <c r="E190">
        <v>7242.4841278933336</v>
      </c>
      <c r="F190" t="s">
        <v>13</v>
      </c>
      <c r="G190">
        <v>270207</v>
      </c>
      <c r="H190">
        <v>270230</v>
      </c>
      <c r="I190" s="3" t="s">
        <v>67</v>
      </c>
      <c r="J190" s="3" t="s">
        <v>68</v>
      </c>
      <c r="K190">
        <v>23</v>
      </c>
      <c r="L190" s="3" t="s">
        <v>69</v>
      </c>
      <c r="M190">
        <v>7645.8927657000004</v>
      </c>
      <c r="N190">
        <v>6404.9103629600004</v>
      </c>
      <c r="O190">
        <v>7676.6492550200001</v>
      </c>
      <c r="P190" s="4">
        <f t="shared" si="6"/>
        <v>7242.4841278933336</v>
      </c>
      <c r="Q190" s="4">
        <f t="shared" si="7"/>
        <v>592.38717586123335</v>
      </c>
      <c r="R190" s="4">
        <f t="shared" si="8"/>
        <v>8.1793368877364006E-2</v>
      </c>
      <c r="S190" t="s">
        <v>12</v>
      </c>
    </row>
    <row r="191" spans="1:19" x14ac:dyDescent="0.35">
      <c r="A191" t="s">
        <v>10</v>
      </c>
      <c r="B191">
        <v>271264</v>
      </c>
      <c r="C191">
        <v>271301</v>
      </c>
      <c r="D191" t="s">
        <v>226</v>
      </c>
      <c r="E191">
        <v>8804.0878757833325</v>
      </c>
      <c r="F191" t="s">
        <v>11</v>
      </c>
      <c r="G191">
        <v>271264</v>
      </c>
      <c r="H191">
        <v>271301</v>
      </c>
      <c r="I191" s="3" t="s">
        <v>67</v>
      </c>
      <c r="J191" s="3" t="s">
        <v>68</v>
      </c>
      <c r="K191">
        <v>37</v>
      </c>
      <c r="L191" s="3" t="s">
        <v>69</v>
      </c>
      <c r="M191">
        <v>8909.1926974500002</v>
      </c>
      <c r="N191">
        <v>9217.0122236700008</v>
      </c>
      <c r="O191">
        <v>8286.0587062300001</v>
      </c>
      <c r="P191" s="4">
        <f t="shared" si="6"/>
        <v>8804.0878757833325</v>
      </c>
      <c r="Q191" s="4">
        <f t="shared" si="7"/>
        <v>387.25863929391664</v>
      </c>
      <c r="R191" s="4">
        <f t="shared" si="8"/>
        <v>4.3986230573540341E-2</v>
      </c>
      <c r="S191" t="s">
        <v>12</v>
      </c>
    </row>
    <row r="192" spans="1:19" x14ac:dyDescent="0.35">
      <c r="A192" t="s">
        <v>10</v>
      </c>
      <c r="B192">
        <v>49267</v>
      </c>
      <c r="C192">
        <v>49284</v>
      </c>
      <c r="D192" t="s">
        <v>120</v>
      </c>
      <c r="E192">
        <v>11544.239061566666</v>
      </c>
      <c r="F192" t="s">
        <v>13</v>
      </c>
      <c r="G192">
        <v>49267</v>
      </c>
      <c r="H192">
        <v>49284</v>
      </c>
      <c r="I192" s="3" t="s">
        <v>67</v>
      </c>
      <c r="J192" s="3" t="s">
        <v>68</v>
      </c>
      <c r="K192">
        <v>17</v>
      </c>
      <c r="L192" s="3" t="s">
        <v>69</v>
      </c>
      <c r="M192">
        <v>11935.895946500001</v>
      </c>
      <c r="N192">
        <v>10355.233019200001</v>
      </c>
      <c r="O192">
        <v>12341.588218999999</v>
      </c>
      <c r="P192" s="4">
        <f t="shared" si="6"/>
        <v>11544.239061566666</v>
      </c>
      <c r="Q192" s="4">
        <f t="shared" si="7"/>
        <v>856.91231818270455</v>
      </c>
      <c r="R192" s="4">
        <f t="shared" si="8"/>
        <v>7.4228566613416369E-2</v>
      </c>
      <c r="S192" t="s">
        <v>12</v>
      </c>
    </row>
    <row r="193" spans="1:19" x14ac:dyDescent="0.35">
      <c r="A193" t="s">
        <v>10</v>
      </c>
      <c r="B193">
        <v>214899</v>
      </c>
      <c r="C193">
        <v>214913</v>
      </c>
      <c r="D193" t="s">
        <v>190</v>
      </c>
      <c r="E193">
        <v>12104.598107666667</v>
      </c>
      <c r="F193" t="s">
        <v>13</v>
      </c>
      <c r="G193">
        <v>214899</v>
      </c>
      <c r="H193">
        <v>214913</v>
      </c>
      <c r="I193" s="3" t="s">
        <v>67</v>
      </c>
      <c r="J193" s="3" t="s">
        <v>68</v>
      </c>
      <c r="K193">
        <v>14</v>
      </c>
      <c r="L193" s="3" t="s">
        <v>69</v>
      </c>
      <c r="M193">
        <v>12967.947099700001</v>
      </c>
      <c r="N193">
        <v>10259.2939207</v>
      </c>
      <c r="O193">
        <v>13086.553302599999</v>
      </c>
      <c r="P193" s="4">
        <f t="shared" si="6"/>
        <v>12104.598107666667</v>
      </c>
      <c r="Q193" s="4">
        <f t="shared" si="7"/>
        <v>1305.725217307506</v>
      </c>
      <c r="R193" s="4">
        <f t="shared" si="8"/>
        <v>0.10787018335458004</v>
      </c>
      <c r="S193" t="s">
        <v>12</v>
      </c>
    </row>
    <row r="194" spans="1:19" x14ac:dyDescent="0.35">
      <c r="A194" t="s">
        <v>10</v>
      </c>
      <c r="B194">
        <v>183934</v>
      </c>
      <c r="C194">
        <v>183957</v>
      </c>
      <c r="D194" t="s">
        <v>179</v>
      </c>
      <c r="E194">
        <v>21557.506396966666</v>
      </c>
      <c r="F194" t="s">
        <v>11</v>
      </c>
      <c r="G194">
        <v>183934</v>
      </c>
      <c r="H194">
        <v>183957</v>
      </c>
      <c r="I194" s="3" t="s">
        <v>67</v>
      </c>
      <c r="J194" s="3" t="s">
        <v>68</v>
      </c>
      <c r="K194">
        <v>23</v>
      </c>
      <c r="L194" s="3" t="s">
        <v>69</v>
      </c>
      <c r="M194">
        <v>20027.9053417</v>
      </c>
      <c r="N194">
        <v>22257.063511299999</v>
      </c>
      <c r="O194">
        <v>22387.5503379</v>
      </c>
      <c r="P194" s="4">
        <f t="shared" ref="P194:P208" si="9">AVERAGE(M194:O194)</f>
        <v>21557.506396966666</v>
      </c>
      <c r="Q194" s="4">
        <f t="shared" ref="Q194:Q208" si="10">_xlfn.STDEV.P(M194:O194)</f>
        <v>1082.9023483779472</v>
      </c>
      <c r="R194" s="4">
        <f t="shared" ref="R194:R208" si="11">Q194/P194</f>
        <v>5.0233191559220472E-2</v>
      </c>
      <c r="S194" t="s">
        <v>12</v>
      </c>
    </row>
    <row r="195" spans="1:19" x14ac:dyDescent="0.35">
      <c r="A195" t="s">
        <v>10</v>
      </c>
      <c r="B195">
        <v>330578</v>
      </c>
      <c r="C195">
        <v>330601</v>
      </c>
      <c r="D195" t="s">
        <v>269</v>
      </c>
      <c r="E195">
        <v>23462.9950795</v>
      </c>
      <c r="F195" t="s">
        <v>13</v>
      </c>
      <c r="G195">
        <v>330578</v>
      </c>
      <c r="H195">
        <v>330601</v>
      </c>
      <c r="I195" s="3" t="s">
        <v>67</v>
      </c>
      <c r="J195" s="3" t="s">
        <v>68</v>
      </c>
      <c r="K195">
        <v>23</v>
      </c>
      <c r="L195" s="3" t="s">
        <v>69</v>
      </c>
      <c r="M195">
        <v>23402.0037687</v>
      </c>
      <c r="N195">
        <v>23057.677306699999</v>
      </c>
      <c r="O195">
        <v>23929.304163100001</v>
      </c>
      <c r="P195" s="4">
        <f t="shared" si="9"/>
        <v>23462.9950795</v>
      </c>
      <c r="Q195" s="4">
        <f t="shared" si="10"/>
        <v>358.44413715785993</v>
      </c>
      <c r="R195" s="4">
        <f t="shared" si="11"/>
        <v>1.5276998351801999E-2</v>
      </c>
      <c r="S195" t="s">
        <v>12</v>
      </c>
    </row>
    <row r="196" spans="1:19" x14ac:dyDescent="0.35">
      <c r="A196" t="s">
        <v>10</v>
      </c>
      <c r="B196">
        <v>206464</v>
      </c>
      <c r="C196">
        <v>206485</v>
      </c>
      <c r="D196" t="s">
        <v>188</v>
      </c>
      <c r="E196">
        <v>27458.066394433332</v>
      </c>
      <c r="F196" t="s">
        <v>11</v>
      </c>
      <c r="G196">
        <v>206464</v>
      </c>
      <c r="H196">
        <v>206485</v>
      </c>
      <c r="I196" s="3" t="s">
        <v>67</v>
      </c>
      <c r="J196" s="3" t="s">
        <v>68</v>
      </c>
      <c r="K196">
        <v>21</v>
      </c>
      <c r="L196" s="3" t="s">
        <v>69</v>
      </c>
      <c r="M196">
        <v>27054.697478599999</v>
      </c>
      <c r="N196">
        <v>29322.289633100001</v>
      </c>
      <c r="O196">
        <v>25997.212071599999</v>
      </c>
      <c r="P196" s="4">
        <f t="shared" si="9"/>
        <v>27458.066394433332</v>
      </c>
      <c r="Q196" s="4">
        <f t="shared" si="10"/>
        <v>1387.0989051958095</v>
      </c>
      <c r="R196" s="4">
        <f t="shared" si="11"/>
        <v>5.0516991446893027E-2</v>
      </c>
      <c r="S196" t="s">
        <v>12</v>
      </c>
    </row>
    <row r="197" spans="1:19" x14ac:dyDescent="0.35">
      <c r="A197" t="s">
        <v>10</v>
      </c>
      <c r="B197">
        <v>219803</v>
      </c>
      <c r="C197">
        <v>219844</v>
      </c>
      <c r="D197" t="s">
        <v>192</v>
      </c>
      <c r="E197">
        <v>32734.793498000003</v>
      </c>
      <c r="F197" t="s">
        <v>11</v>
      </c>
      <c r="G197">
        <v>219803</v>
      </c>
      <c r="H197">
        <v>219844</v>
      </c>
      <c r="I197" s="3" t="s">
        <v>67</v>
      </c>
      <c r="J197" s="3" t="s">
        <v>68</v>
      </c>
      <c r="K197">
        <v>41</v>
      </c>
      <c r="L197" s="3" t="s">
        <v>69</v>
      </c>
      <c r="M197">
        <v>33306.103827999999</v>
      </c>
      <c r="N197">
        <v>31690.2467373</v>
      </c>
      <c r="O197">
        <v>33208.029928700002</v>
      </c>
      <c r="P197" s="4">
        <f t="shared" si="9"/>
        <v>32734.793498000003</v>
      </c>
      <c r="Q197" s="4">
        <f t="shared" si="10"/>
        <v>739.69050910842634</v>
      </c>
      <c r="R197" s="4">
        <f t="shared" si="11"/>
        <v>2.2596461748066905E-2</v>
      </c>
      <c r="S197" t="s">
        <v>12</v>
      </c>
    </row>
    <row r="198" spans="1:19" x14ac:dyDescent="0.35">
      <c r="A198" t="s">
        <v>10</v>
      </c>
      <c r="B198">
        <v>206224</v>
      </c>
      <c r="C198">
        <v>206273</v>
      </c>
      <c r="D198" t="s">
        <v>187</v>
      </c>
      <c r="E198">
        <v>33318.704994966669</v>
      </c>
      <c r="F198" t="s">
        <v>11</v>
      </c>
      <c r="G198">
        <v>206224</v>
      </c>
      <c r="H198">
        <v>206273</v>
      </c>
      <c r="I198" s="3" t="s">
        <v>67</v>
      </c>
      <c r="J198" s="3" t="s">
        <v>68</v>
      </c>
      <c r="K198">
        <v>49</v>
      </c>
      <c r="L198" s="3" t="s">
        <v>69</v>
      </c>
      <c r="M198">
        <v>34828.200782100001</v>
      </c>
      <c r="N198">
        <v>31506.930487500002</v>
      </c>
      <c r="O198">
        <v>33620.983715299997</v>
      </c>
      <c r="P198" s="4">
        <f t="shared" si="9"/>
        <v>33318.704994966669</v>
      </c>
      <c r="Q198" s="4">
        <f t="shared" si="10"/>
        <v>1372.6466918628062</v>
      </c>
      <c r="R198" s="4">
        <f t="shared" si="11"/>
        <v>4.1197480276324264E-2</v>
      </c>
      <c r="S198" t="s">
        <v>12</v>
      </c>
    </row>
    <row r="199" spans="1:19" x14ac:dyDescent="0.35">
      <c r="A199" t="s">
        <v>10</v>
      </c>
      <c r="B199">
        <v>330066</v>
      </c>
      <c r="C199">
        <v>330089</v>
      </c>
      <c r="D199" t="s">
        <v>268</v>
      </c>
      <c r="E199">
        <v>35081.287673066669</v>
      </c>
      <c r="F199" t="s">
        <v>13</v>
      </c>
      <c r="G199">
        <v>330066</v>
      </c>
      <c r="H199">
        <v>330089</v>
      </c>
      <c r="I199" s="3" t="s">
        <v>67</v>
      </c>
      <c r="J199" s="3" t="s">
        <v>68</v>
      </c>
      <c r="K199">
        <v>23</v>
      </c>
      <c r="L199" s="3" t="s">
        <v>69</v>
      </c>
      <c r="M199">
        <v>33245.703766699997</v>
      </c>
      <c r="N199">
        <v>37276.578312400001</v>
      </c>
      <c r="O199">
        <v>34721.580940100001</v>
      </c>
      <c r="P199" s="4">
        <f t="shared" si="9"/>
        <v>35081.287673066669</v>
      </c>
      <c r="Q199" s="4">
        <f t="shared" si="10"/>
        <v>1665.138452922002</v>
      </c>
      <c r="R199" s="4">
        <f t="shared" si="11"/>
        <v>4.7465146332139815E-2</v>
      </c>
      <c r="S199" t="s">
        <v>12</v>
      </c>
    </row>
    <row r="200" spans="1:19" x14ac:dyDescent="0.35">
      <c r="A200" t="s">
        <v>10</v>
      </c>
      <c r="B200">
        <v>92783</v>
      </c>
      <c r="C200">
        <v>92818</v>
      </c>
      <c r="D200" t="s">
        <v>149</v>
      </c>
      <c r="E200">
        <v>45677.982830233341</v>
      </c>
      <c r="F200" t="s">
        <v>11</v>
      </c>
      <c r="G200">
        <v>92783</v>
      </c>
      <c r="H200">
        <v>92818</v>
      </c>
      <c r="I200" s="3" t="s">
        <v>67</v>
      </c>
      <c r="J200" s="3" t="s">
        <v>68</v>
      </c>
      <c r="K200">
        <v>35</v>
      </c>
      <c r="L200" s="3" t="s">
        <v>69</v>
      </c>
      <c r="M200">
        <v>47294.865893100003</v>
      </c>
      <c r="N200">
        <v>45688.0555934</v>
      </c>
      <c r="O200">
        <v>44051.027004199997</v>
      </c>
      <c r="P200" s="4">
        <f t="shared" si="9"/>
        <v>45677.982830233341</v>
      </c>
      <c r="Q200" s="4">
        <f t="shared" si="10"/>
        <v>1324.310834535801</v>
      </c>
      <c r="R200" s="4">
        <f t="shared" si="11"/>
        <v>2.899232305107979E-2</v>
      </c>
      <c r="S200" t="s">
        <v>12</v>
      </c>
    </row>
    <row r="201" spans="1:19" x14ac:dyDescent="0.35">
      <c r="A201" t="s">
        <v>10</v>
      </c>
      <c r="B201">
        <v>331883</v>
      </c>
      <c r="C201">
        <v>331900</v>
      </c>
      <c r="D201" t="s">
        <v>270</v>
      </c>
      <c r="E201">
        <v>56511.965426466668</v>
      </c>
      <c r="F201" t="s">
        <v>11</v>
      </c>
      <c r="G201">
        <v>331883</v>
      </c>
      <c r="H201">
        <v>331900</v>
      </c>
      <c r="I201" s="3" t="s">
        <v>67</v>
      </c>
      <c r="J201" s="3" t="s">
        <v>68</v>
      </c>
      <c r="K201">
        <v>17</v>
      </c>
      <c r="L201" s="3" t="s">
        <v>69</v>
      </c>
      <c r="M201">
        <v>60894.009495300001</v>
      </c>
      <c r="N201">
        <v>58015.301308299997</v>
      </c>
      <c r="O201">
        <v>50626.585475799999</v>
      </c>
      <c r="P201" s="4">
        <f t="shared" si="9"/>
        <v>56511.965426466668</v>
      </c>
      <c r="Q201" s="4">
        <f t="shared" si="10"/>
        <v>4324.3506702746408</v>
      </c>
      <c r="R201" s="4">
        <f t="shared" si="11"/>
        <v>7.6520974587257692E-2</v>
      </c>
      <c r="S201" t="s">
        <v>12</v>
      </c>
    </row>
    <row r="202" spans="1:19" x14ac:dyDescent="0.35">
      <c r="A202" t="s">
        <v>10</v>
      </c>
      <c r="B202">
        <v>246895</v>
      </c>
      <c r="C202">
        <v>246944</v>
      </c>
      <c r="D202" t="s">
        <v>212</v>
      </c>
      <c r="E202">
        <v>58575.238941966665</v>
      </c>
      <c r="F202" t="s">
        <v>11</v>
      </c>
      <c r="G202">
        <v>246895</v>
      </c>
      <c r="H202">
        <v>246944</v>
      </c>
      <c r="I202" s="3" t="s">
        <v>67</v>
      </c>
      <c r="J202" s="3" t="s">
        <v>68</v>
      </c>
      <c r="K202">
        <v>49</v>
      </c>
      <c r="L202" s="3" t="s">
        <v>69</v>
      </c>
      <c r="M202">
        <v>61447.000879300002</v>
      </c>
      <c r="N202">
        <v>56550.130006699997</v>
      </c>
      <c r="O202">
        <v>57728.585939899996</v>
      </c>
      <c r="P202" s="4">
        <f t="shared" si="9"/>
        <v>58575.238941966665</v>
      </c>
      <c r="Q202" s="4">
        <f t="shared" si="10"/>
        <v>2086.8560188572278</v>
      </c>
      <c r="R202" s="4">
        <f t="shared" si="11"/>
        <v>3.562693138861589E-2</v>
      </c>
      <c r="S202" t="s">
        <v>12</v>
      </c>
    </row>
    <row r="203" spans="1:19" x14ac:dyDescent="0.35">
      <c r="A203" t="s">
        <v>10</v>
      </c>
      <c r="B203">
        <v>239198</v>
      </c>
      <c r="C203">
        <v>239241</v>
      </c>
      <c r="D203" t="s">
        <v>208</v>
      </c>
      <c r="E203">
        <v>74193.183986499993</v>
      </c>
      <c r="F203" t="s">
        <v>11</v>
      </c>
      <c r="G203">
        <v>239198</v>
      </c>
      <c r="H203">
        <v>239241</v>
      </c>
      <c r="I203" s="3" t="s">
        <v>67</v>
      </c>
      <c r="J203" s="3" t="s">
        <v>68</v>
      </c>
      <c r="K203">
        <v>43</v>
      </c>
      <c r="L203" s="3" t="s">
        <v>69</v>
      </c>
      <c r="M203">
        <v>74259.680655899996</v>
      </c>
      <c r="N203">
        <v>74530.069157299993</v>
      </c>
      <c r="O203">
        <v>73789.802146300004</v>
      </c>
      <c r="P203" s="4">
        <f t="shared" si="9"/>
        <v>74193.183986499993</v>
      </c>
      <c r="Q203" s="4">
        <f t="shared" si="10"/>
        <v>305.84872859490952</v>
      </c>
      <c r="R203" s="4">
        <f t="shared" si="11"/>
        <v>4.1223291973904366E-3</v>
      </c>
      <c r="S203" t="s">
        <v>12</v>
      </c>
    </row>
    <row r="204" spans="1:19" x14ac:dyDescent="0.35">
      <c r="A204" t="s">
        <v>10</v>
      </c>
      <c r="B204">
        <v>270781</v>
      </c>
      <c r="C204">
        <v>270798</v>
      </c>
      <c r="D204" t="s">
        <v>225</v>
      </c>
      <c r="E204">
        <v>81333.58241136666</v>
      </c>
      <c r="F204" t="s">
        <v>11</v>
      </c>
      <c r="G204">
        <v>270781</v>
      </c>
      <c r="H204">
        <v>270798</v>
      </c>
      <c r="I204" s="3" t="s">
        <v>67</v>
      </c>
      <c r="J204" s="3" t="s">
        <v>68</v>
      </c>
      <c r="K204">
        <v>17</v>
      </c>
      <c r="L204" s="3" t="s">
        <v>69</v>
      </c>
      <c r="M204">
        <v>87404.262597399997</v>
      </c>
      <c r="N204">
        <v>79722.296047199998</v>
      </c>
      <c r="O204">
        <v>76874.188589500001</v>
      </c>
      <c r="P204" s="4">
        <f t="shared" si="9"/>
        <v>81333.58241136666</v>
      </c>
      <c r="Q204" s="4">
        <f t="shared" si="10"/>
        <v>4447.3061107052845</v>
      </c>
      <c r="R204" s="4">
        <f t="shared" si="11"/>
        <v>5.4679825711006151E-2</v>
      </c>
      <c r="S204" t="s">
        <v>12</v>
      </c>
    </row>
    <row r="205" spans="1:19" x14ac:dyDescent="0.35">
      <c r="A205" t="s">
        <v>10</v>
      </c>
      <c r="B205">
        <v>68686</v>
      </c>
      <c r="C205">
        <v>68709</v>
      </c>
      <c r="D205" t="s">
        <v>128</v>
      </c>
      <c r="E205">
        <v>113400.81148033333</v>
      </c>
      <c r="F205" t="s">
        <v>13</v>
      </c>
      <c r="G205">
        <v>68686</v>
      </c>
      <c r="H205">
        <v>68709</v>
      </c>
      <c r="I205" s="3" t="s">
        <v>67</v>
      </c>
      <c r="J205" s="3" t="s">
        <v>68</v>
      </c>
      <c r="K205">
        <v>23</v>
      </c>
      <c r="L205" s="3" t="s">
        <v>69</v>
      </c>
      <c r="M205">
        <v>110664.237398</v>
      </c>
      <c r="N205">
        <v>115480.53384400001</v>
      </c>
      <c r="O205">
        <v>114057.663199</v>
      </c>
      <c r="P205" s="4">
        <f t="shared" si="9"/>
        <v>113400.81148033333</v>
      </c>
      <c r="Q205" s="4">
        <f t="shared" si="10"/>
        <v>2020.3578064581516</v>
      </c>
      <c r="R205" s="4">
        <f t="shared" si="11"/>
        <v>1.7816078915877373E-2</v>
      </c>
      <c r="S205" t="s">
        <v>12</v>
      </c>
    </row>
    <row r="206" spans="1:19" x14ac:dyDescent="0.35">
      <c r="A206" t="s">
        <v>10</v>
      </c>
      <c r="B206">
        <v>31032</v>
      </c>
      <c r="C206">
        <v>31069</v>
      </c>
      <c r="D206" t="s">
        <v>102</v>
      </c>
      <c r="E206">
        <v>140304.45279000001</v>
      </c>
      <c r="F206" t="s">
        <v>13</v>
      </c>
      <c r="G206">
        <v>31032</v>
      </c>
      <c r="H206">
        <v>31069</v>
      </c>
      <c r="I206" s="3" t="s">
        <v>67</v>
      </c>
      <c r="J206" s="3" t="s">
        <v>68</v>
      </c>
      <c r="K206">
        <v>37</v>
      </c>
      <c r="L206" s="3" t="s">
        <v>69</v>
      </c>
      <c r="M206">
        <v>126460.50628</v>
      </c>
      <c r="N206">
        <v>151513.34780600001</v>
      </c>
      <c r="O206">
        <v>142939.504284</v>
      </c>
      <c r="P206" s="4">
        <f t="shared" si="9"/>
        <v>140304.45279000001</v>
      </c>
      <c r="Q206" s="4">
        <f t="shared" si="10"/>
        <v>10396.115922585102</v>
      </c>
      <c r="R206" s="4">
        <f t="shared" si="11"/>
        <v>7.409683524546036E-2</v>
      </c>
      <c r="S206" t="s">
        <v>12</v>
      </c>
    </row>
    <row r="207" spans="1:19" x14ac:dyDescent="0.35">
      <c r="A207" t="s">
        <v>10</v>
      </c>
      <c r="B207">
        <v>114715</v>
      </c>
      <c r="C207">
        <v>114759</v>
      </c>
      <c r="D207" t="s">
        <v>163</v>
      </c>
      <c r="E207">
        <v>199077.7404263333</v>
      </c>
      <c r="F207" t="s">
        <v>11</v>
      </c>
      <c r="G207">
        <v>114715</v>
      </c>
      <c r="H207">
        <v>114759</v>
      </c>
      <c r="I207" s="3" t="s">
        <v>67</v>
      </c>
      <c r="J207" s="3" t="s">
        <v>68</v>
      </c>
      <c r="K207">
        <v>44</v>
      </c>
      <c r="L207" s="3" t="s">
        <v>69</v>
      </c>
      <c r="M207">
        <v>192877.98680899999</v>
      </c>
      <c r="N207">
        <v>207610.80243099999</v>
      </c>
      <c r="O207">
        <v>196744.43203900001</v>
      </c>
      <c r="P207" s="4">
        <f t="shared" si="9"/>
        <v>199077.7404263333</v>
      </c>
      <c r="Q207" s="4">
        <f t="shared" si="10"/>
        <v>6236.8373427970582</v>
      </c>
      <c r="R207" s="4">
        <f t="shared" si="11"/>
        <v>3.1328652462302466E-2</v>
      </c>
      <c r="S207" t="s">
        <v>12</v>
      </c>
    </row>
    <row r="208" spans="1:19" x14ac:dyDescent="0.35">
      <c r="A208" t="s">
        <v>10</v>
      </c>
      <c r="B208">
        <v>207549</v>
      </c>
      <c r="C208">
        <v>207567</v>
      </c>
      <c r="D208" t="s">
        <v>189</v>
      </c>
      <c r="E208">
        <v>223932.24778566664</v>
      </c>
      <c r="F208" t="s">
        <v>11</v>
      </c>
      <c r="G208">
        <v>207549</v>
      </c>
      <c r="H208">
        <v>207567</v>
      </c>
      <c r="I208" s="3" t="s">
        <v>67</v>
      </c>
      <c r="J208" s="3" t="s">
        <v>68</v>
      </c>
      <c r="K208">
        <v>18</v>
      </c>
      <c r="L208" s="3" t="s">
        <v>69</v>
      </c>
      <c r="M208">
        <v>238192.088036</v>
      </c>
      <c r="N208">
        <v>222197.015342</v>
      </c>
      <c r="O208">
        <v>211407.639979</v>
      </c>
      <c r="P208" s="4">
        <f t="shared" si="9"/>
        <v>223932.24778566664</v>
      </c>
      <c r="Q208" s="4">
        <f t="shared" si="10"/>
        <v>11003.330954903242</v>
      </c>
      <c r="R208" s="4">
        <f t="shared" si="11"/>
        <v>4.9136875388465326E-2</v>
      </c>
      <c r="S20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All_genes</vt:lpstr>
      <vt:lpstr>LEG_25</vt:lpstr>
      <vt:lpstr>HEG_25</vt:lpstr>
      <vt:lpstr>ncRNAs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Sutormin</dc:creator>
  <cp:lastModifiedBy>Dmitry Sutormin</cp:lastModifiedBy>
  <dcterms:created xsi:type="dcterms:W3CDTF">2024-07-29T02:06:10Z</dcterms:created>
  <dcterms:modified xsi:type="dcterms:W3CDTF">2024-07-30T02:54:26Z</dcterms:modified>
</cp:coreProperties>
</file>