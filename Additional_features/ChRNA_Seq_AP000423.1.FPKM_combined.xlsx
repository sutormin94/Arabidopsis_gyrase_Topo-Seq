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0ad81bf276083/ThinkPad_working/Sutor/Science/Arabidopsis_gyrase/Arabidopsis_gyrase_Topo-Seq/Arabidopsis_gyrase_Topo-Seq/Additional_features/"/>
    </mc:Choice>
  </mc:AlternateContent>
  <xr:revisionPtr revIDLastSave="92" documentId="13_ncr:1_{6C11B70A-5345-400D-8CD3-5898E7712979}" xr6:coauthVersionLast="47" xr6:coauthVersionMax="47" xr10:uidLastSave="{93DF67F2-E55F-4409-B3B0-92292BA80293}"/>
  <bookViews>
    <workbookView xWindow="-96" yWindow="-96" windowWidth="23232" windowHeight="12432" xr2:uid="{93530FCF-6982-48B0-A063-1C2AD8A58FFF}"/>
  </bookViews>
  <sheets>
    <sheet name="All_genes" sheetId="4" r:id="rId1"/>
    <sheet name="HEG_50" sheetId="2" r:id="rId2"/>
    <sheet name="LEG_5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4" l="1"/>
  <c r="P64" i="4"/>
  <c r="Q98" i="4"/>
  <c r="P98" i="4"/>
  <c r="Q121" i="4"/>
  <c r="P121" i="4"/>
  <c r="Q124" i="4"/>
  <c r="P124" i="4"/>
  <c r="Q95" i="4"/>
  <c r="P95" i="4"/>
  <c r="Q3" i="4"/>
  <c r="P3" i="4"/>
  <c r="Q11" i="4"/>
  <c r="P11" i="4"/>
  <c r="Q41" i="4"/>
  <c r="P41" i="4"/>
  <c r="Q99" i="4"/>
  <c r="P99" i="4"/>
  <c r="Q120" i="4"/>
  <c r="P120" i="4"/>
  <c r="Q119" i="4"/>
  <c r="P119" i="4"/>
  <c r="Q100" i="4"/>
  <c r="P100" i="4"/>
  <c r="Q72" i="4"/>
  <c r="P72" i="4"/>
  <c r="Q26" i="4"/>
  <c r="P26" i="4"/>
  <c r="Q50" i="4"/>
  <c r="P50" i="4"/>
  <c r="Q57" i="4"/>
  <c r="P57" i="4"/>
  <c r="Q59" i="4"/>
  <c r="P59" i="4"/>
  <c r="Q46" i="4"/>
  <c r="P46" i="4"/>
  <c r="Q10" i="4"/>
  <c r="P10" i="4"/>
  <c r="Q58" i="4"/>
  <c r="P58" i="4"/>
  <c r="Q23" i="4"/>
  <c r="P23" i="4"/>
  <c r="Q111" i="4"/>
  <c r="P111" i="4"/>
  <c r="Q70" i="4"/>
  <c r="P70" i="4"/>
  <c r="Q97" i="4"/>
  <c r="P97" i="4"/>
  <c r="Q65" i="4"/>
  <c r="P65" i="4"/>
  <c r="Q29" i="4"/>
  <c r="P29" i="4"/>
  <c r="Q122" i="4"/>
  <c r="P122" i="4"/>
  <c r="Q30" i="4"/>
  <c r="P30" i="4"/>
  <c r="Q123" i="4"/>
  <c r="P123" i="4"/>
  <c r="Q96" i="4"/>
  <c r="P96" i="4"/>
  <c r="Q38" i="4"/>
  <c r="P38" i="4"/>
  <c r="Q28" i="4"/>
  <c r="P28" i="4"/>
  <c r="Q48" i="4"/>
  <c r="P48" i="4"/>
  <c r="Q69" i="4"/>
  <c r="P69" i="4"/>
  <c r="Q43" i="4"/>
  <c r="P43" i="4"/>
  <c r="Q24" i="4"/>
  <c r="P24" i="4"/>
  <c r="Q34" i="4"/>
  <c r="P34" i="4"/>
  <c r="Q55" i="4"/>
  <c r="P55" i="4"/>
  <c r="Q127" i="4"/>
  <c r="P127" i="4"/>
  <c r="Q92" i="4"/>
  <c r="P92" i="4"/>
  <c r="Q110" i="4"/>
  <c r="P110" i="4"/>
  <c r="Q77" i="4"/>
  <c r="P77" i="4"/>
  <c r="Q71" i="4"/>
  <c r="P71" i="4"/>
  <c r="Q75" i="4"/>
  <c r="P75" i="4"/>
  <c r="Q40" i="4"/>
  <c r="P40" i="4"/>
  <c r="Q49" i="4"/>
  <c r="P49" i="4"/>
  <c r="Q63" i="4"/>
  <c r="P63" i="4"/>
  <c r="Q35" i="4"/>
  <c r="P35" i="4"/>
  <c r="Q15" i="4"/>
  <c r="P15" i="4"/>
  <c r="Q56" i="4"/>
  <c r="P56" i="4"/>
  <c r="Q66" i="4"/>
  <c r="P66" i="4"/>
  <c r="Q9" i="4"/>
  <c r="P9" i="4"/>
  <c r="Q25" i="4"/>
  <c r="P25" i="4"/>
  <c r="Q36" i="4"/>
  <c r="P36" i="4"/>
  <c r="Q12" i="4"/>
  <c r="P12" i="4"/>
  <c r="Q14" i="4"/>
  <c r="P14" i="4"/>
  <c r="Q125" i="4"/>
  <c r="P125" i="4"/>
  <c r="Q104" i="4"/>
  <c r="P104" i="4"/>
  <c r="Q61" i="4"/>
  <c r="P61" i="4"/>
  <c r="Q74" i="4"/>
  <c r="P74" i="4"/>
  <c r="Q4" i="4"/>
  <c r="P4" i="4"/>
  <c r="Q108" i="4"/>
  <c r="P108" i="4"/>
  <c r="Q117" i="4"/>
  <c r="P117" i="4"/>
  <c r="Q5" i="4"/>
  <c r="P5" i="4"/>
  <c r="Q21" i="4"/>
  <c r="P21" i="4"/>
  <c r="Q102" i="4"/>
  <c r="P102" i="4"/>
  <c r="Q22" i="4"/>
  <c r="P22" i="4"/>
  <c r="Q54" i="4"/>
  <c r="P54" i="4"/>
  <c r="Q85" i="4"/>
  <c r="P85" i="4"/>
  <c r="Q103" i="4"/>
  <c r="P103" i="4"/>
  <c r="Q105" i="4"/>
  <c r="P105" i="4"/>
  <c r="Q73" i="4"/>
  <c r="P73" i="4"/>
  <c r="Q134" i="4"/>
  <c r="P134" i="4"/>
  <c r="Q129" i="4"/>
  <c r="P129" i="4"/>
  <c r="Q52" i="4"/>
  <c r="P52" i="4"/>
  <c r="Q113" i="4"/>
  <c r="P113" i="4"/>
  <c r="Q94" i="4"/>
  <c r="P94" i="4"/>
  <c r="Q39" i="4"/>
  <c r="P39" i="4"/>
  <c r="Q31" i="4"/>
  <c r="P31" i="4"/>
  <c r="Q27" i="4"/>
  <c r="P27" i="4"/>
  <c r="Q13" i="4"/>
  <c r="P13" i="4"/>
  <c r="Q133" i="4"/>
  <c r="P133" i="4"/>
  <c r="Q86" i="4"/>
  <c r="P86" i="4"/>
  <c r="Q126" i="4"/>
  <c r="P126" i="4"/>
  <c r="Q16" i="4"/>
  <c r="P16" i="4"/>
  <c r="Q90" i="4"/>
  <c r="P90" i="4"/>
  <c r="Q67" i="4"/>
  <c r="P67" i="4"/>
  <c r="Q81" i="4"/>
  <c r="P81" i="4"/>
  <c r="Q80" i="4"/>
  <c r="P80" i="4"/>
  <c r="Q93" i="4"/>
  <c r="P93" i="4"/>
  <c r="Q84" i="4"/>
  <c r="P84" i="4"/>
  <c r="Q78" i="4"/>
  <c r="P78" i="4"/>
  <c r="Q116" i="4"/>
  <c r="P116" i="4"/>
  <c r="Q131" i="4"/>
  <c r="P131" i="4"/>
  <c r="Q88" i="4"/>
  <c r="P88" i="4"/>
  <c r="Q53" i="4"/>
  <c r="P53" i="4"/>
  <c r="Q115" i="4"/>
  <c r="P115" i="4"/>
  <c r="Q76" i="4"/>
  <c r="P76" i="4"/>
  <c r="Q33" i="4"/>
  <c r="P33" i="4"/>
  <c r="Q83" i="4"/>
  <c r="P83" i="4"/>
  <c r="Q47" i="4"/>
  <c r="P47" i="4"/>
  <c r="Q87" i="4"/>
  <c r="P87" i="4"/>
  <c r="Q109" i="4"/>
  <c r="P109" i="4"/>
  <c r="Q37" i="4"/>
  <c r="P37" i="4"/>
  <c r="Q45" i="4"/>
  <c r="P45" i="4"/>
  <c r="Q32" i="4"/>
  <c r="P32" i="4"/>
  <c r="Q91" i="4"/>
  <c r="P91" i="4"/>
  <c r="Q128" i="4"/>
  <c r="P128" i="4"/>
  <c r="Q82" i="4"/>
  <c r="P82" i="4"/>
  <c r="Q19" i="4"/>
  <c r="P19" i="4"/>
  <c r="Q44" i="4"/>
  <c r="P44" i="4"/>
  <c r="Q6" i="4"/>
  <c r="P6" i="4"/>
  <c r="Q132" i="4"/>
  <c r="P132" i="4"/>
  <c r="Q2" i="4"/>
  <c r="P2" i="4"/>
  <c r="Q8" i="4"/>
  <c r="P8" i="4"/>
  <c r="Q20" i="4"/>
  <c r="P20" i="4"/>
  <c r="Q51" i="4"/>
  <c r="P51" i="4"/>
  <c r="Q62" i="4"/>
  <c r="P62" i="4"/>
  <c r="Q79" i="4"/>
  <c r="P79" i="4"/>
  <c r="Q101" i="4"/>
  <c r="P101" i="4"/>
  <c r="Q68" i="4"/>
  <c r="P68" i="4"/>
  <c r="Q118" i="4"/>
  <c r="P118" i="4"/>
  <c r="Q107" i="4"/>
  <c r="P107" i="4"/>
  <c r="Q60" i="4"/>
  <c r="P60" i="4"/>
  <c r="Q17" i="4"/>
  <c r="P17" i="4"/>
  <c r="Q114" i="4"/>
  <c r="P114" i="4"/>
  <c r="Q106" i="4"/>
  <c r="P106" i="4"/>
  <c r="Q112" i="4"/>
  <c r="P112" i="4"/>
  <c r="Q7" i="4"/>
  <c r="P7" i="4"/>
  <c r="Q18" i="4"/>
  <c r="P18" i="4"/>
  <c r="Q89" i="4"/>
  <c r="P89" i="4"/>
  <c r="Q42" i="4"/>
  <c r="P42" i="4"/>
  <c r="Q130" i="4"/>
  <c r="P130" i="4"/>
  <c r="R79" i="4" l="1"/>
  <c r="R3" i="4"/>
  <c r="R61" i="4"/>
  <c r="R43" i="4"/>
  <c r="R7" i="4"/>
  <c r="R107" i="4"/>
  <c r="R33" i="4"/>
  <c r="R117" i="4"/>
  <c r="R127" i="4"/>
  <c r="R20" i="4"/>
  <c r="R24" i="4"/>
  <c r="R97" i="4"/>
  <c r="R70" i="4"/>
  <c r="R37" i="4"/>
  <c r="R58" i="4"/>
  <c r="R41" i="4"/>
  <c r="R82" i="4"/>
  <c r="R12" i="4"/>
  <c r="R71" i="4"/>
  <c r="R38" i="4"/>
  <c r="R42" i="4"/>
  <c r="R39" i="4"/>
  <c r="R102" i="4"/>
  <c r="R74" i="4"/>
  <c r="R36" i="4"/>
  <c r="R100" i="4"/>
  <c r="R119" i="4"/>
  <c r="R28" i="4"/>
  <c r="R60" i="4"/>
  <c r="R62" i="4"/>
  <c r="R6" i="4"/>
  <c r="R83" i="4"/>
  <c r="R92" i="4"/>
  <c r="R27" i="4"/>
  <c r="R88" i="4"/>
  <c r="R105" i="4"/>
  <c r="R63" i="4"/>
  <c r="R112" i="4"/>
  <c r="R78" i="4"/>
  <c r="R14" i="4"/>
  <c r="R34" i="4"/>
  <c r="R44" i="4"/>
  <c r="R130" i="4"/>
  <c r="R19" i="4"/>
  <c r="R67" i="4"/>
  <c r="R5" i="4"/>
  <c r="R11" i="4"/>
  <c r="R106" i="4"/>
  <c r="R8" i="4"/>
  <c r="R52" i="4"/>
  <c r="R9" i="4"/>
  <c r="R66" i="4"/>
  <c r="R30" i="4"/>
  <c r="R2" i="4"/>
  <c r="R84" i="4"/>
  <c r="R57" i="4"/>
  <c r="R109" i="4"/>
  <c r="R128" i="4"/>
  <c r="R16" i="4"/>
  <c r="R31" i="4"/>
  <c r="R122" i="4"/>
  <c r="R101" i="4"/>
  <c r="R54" i="4"/>
  <c r="R134" i="4"/>
  <c r="R132" i="4"/>
  <c r="R91" i="4"/>
  <c r="R53" i="4"/>
  <c r="R93" i="4"/>
  <c r="R126" i="4"/>
  <c r="R73" i="4"/>
  <c r="R22" i="4"/>
  <c r="R4" i="4"/>
  <c r="R75" i="4"/>
  <c r="R50" i="4"/>
  <c r="R124" i="4"/>
  <c r="R89" i="4"/>
  <c r="R86" i="4"/>
  <c r="R15" i="4"/>
  <c r="R35" i="4"/>
  <c r="R65" i="4"/>
  <c r="R131" i="4"/>
  <c r="R81" i="4"/>
  <c r="R77" i="4"/>
  <c r="R10" i="4"/>
  <c r="R72" i="4"/>
  <c r="R98" i="4"/>
  <c r="R113" i="4"/>
  <c r="R96" i="4"/>
  <c r="R45" i="4"/>
  <c r="R46" i="4"/>
  <c r="R76" i="4"/>
  <c r="R129" i="4"/>
  <c r="R17" i="4"/>
  <c r="R32" i="4"/>
  <c r="R133" i="4"/>
  <c r="R94" i="4"/>
  <c r="R104" i="4"/>
  <c r="R25" i="4"/>
  <c r="R69" i="4"/>
  <c r="R123" i="4"/>
  <c r="R120" i="4"/>
  <c r="R95" i="4"/>
  <c r="R103" i="4"/>
  <c r="R47" i="4"/>
  <c r="R90" i="4"/>
  <c r="R13" i="4"/>
  <c r="R108" i="4"/>
  <c r="R125" i="4"/>
  <c r="R55" i="4"/>
  <c r="R48" i="4"/>
  <c r="R26" i="4"/>
  <c r="R99" i="4"/>
  <c r="R116" i="4"/>
  <c r="R56" i="4"/>
  <c r="R18" i="4"/>
  <c r="R85" i="4"/>
  <c r="R40" i="4"/>
  <c r="R121" i="4"/>
  <c r="R21" i="4"/>
  <c r="R49" i="4"/>
  <c r="R110" i="4"/>
  <c r="R111" i="4"/>
  <c r="R59" i="4"/>
  <c r="R51" i="4"/>
  <c r="R29" i="4"/>
  <c r="R80" i="4"/>
  <c r="R118" i="4"/>
  <c r="R23" i="4"/>
  <c r="R114" i="4"/>
  <c r="R68" i="4"/>
  <c r="R87" i="4"/>
  <c r="R115" i="4"/>
  <c r="R64" i="4"/>
</calcChain>
</file>

<file path=xl/sharedStrings.xml><?xml version="1.0" encoding="utf-8"?>
<sst xmlns="http://schemas.openxmlformats.org/spreadsheetml/2006/main" count="1912" uniqueCount="163">
  <si>
    <t>#chrom</t>
  </si>
  <si>
    <t>st</t>
  </si>
  <si>
    <t>end</t>
  </si>
  <si>
    <t>accession</t>
  </si>
  <si>
    <t>mRNA_size</t>
  </si>
  <si>
    <t>gene_strand</t>
  </si>
  <si>
    <t>AP000423.1</t>
  </si>
  <si>
    <t>trnH</t>
  </si>
  <si>
    <t>-</t>
  </si>
  <si>
    <t>psbA</t>
  </si>
  <si>
    <t>trnK</t>
  </si>
  <si>
    <t>matK</t>
  </si>
  <si>
    <t>rps16</t>
  </si>
  <si>
    <t>trnQ</t>
  </si>
  <si>
    <t>psbK</t>
  </si>
  <si>
    <t>+</t>
  </si>
  <si>
    <t>psbI</t>
  </si>
  <si>
    <t>trnS</t>
  </si>
  <si>
    <t>trnG</t>
  </si>
  <si>
    <t>trnR</t>
  </si>
  <si>
    <t>atpA</t>
  </si>
  <si>
    <t>atpF</t>
  </si>
  <si>
    <t>atpH</t>
  </si>
  <si>
    <t>atpI</t>
  </si>
  <si>
    <t>rps2</t>
  </si>
  <si>
    <t>rpoC2</t>
  </si>
  <si>
    <t>rpoC1</t>
  </si>
  <si>
    <t>rpoB</t>
  </si>
  <si>
    <t>trnC</t>
  </si>
  <si>
    <t>ycf6</t>
  </si>
  <si>
    <t>psbM</t>
  </si>
  <si>
    <t>trnD</t>
  </si>
  <si>
    <t>trnY</t>
  </si>
  <si>
    <t>trnE</t>
  </si>
  <si>
    <t>trnT</t>
  </si>
  <si>
    <t>psbD</t>
  </si>
  <si>
    <t>psbC</t>
  </si>
  <si>
    <t>trnS-2</t>
  </si>
  <si>
    <t>ycf9</t>
  </si>
  <si>
    <t>trnG-2</t>
  </si>
  <si>
    <t>trnfM</t>
  </si>
  <si>
    <t>rps14-2</t>
  </si>
  <si>
    <t>psaB</t>
  </si>
  <si>
    <t>psaA</t>
  </si>
  <si>
    <t>ycf3</t>
  </si>
  <si>
    <t>trnS-3</t>
  </si>
  <si>
    <t>rps4-2</t>
  </si>
  <si>
    <t>trnT-2</t>
  </si>
  <si>
    <t>trnL</t>
  </si>
  <si>
    <t>trnF-5</t>
  </si>
  <si>
    <t>ndhJ</t>
  </si>
  <si>
    <t>psbG</t>
  </si>
  <si>
    <t>ndhC</t>
  </si>
  <si>
    <t>trnV</t>
  </si>
  <si>
    <t>trnM</t>
  </si>
  <si>
    <t>atpE</t>
  </si>
  <si>
    <t>atpB</t>
  </si>
  <si>
    <t>rbcL</t>
  </si>
  <si>
    <t>accD</t>
  </si>
  <si>
    <t>psaI</t>
  </si>
  <si>
    <t>ycf4</t>
  </si>
  <si>
    <t>ycf10/cemA</t>
  </si>
  <si>
    <t>petA</t>
  </si>
  <si>
    <t>psbJ</t>
  </si>
  <si>
    <t>psbL</t>
  </si>
  <si>
    <t>psbF</t>
  </si>
  <si>
    <t>psbE</t>
  </si>
  <si>
    <t>ORF31</t>
  </si>
  <si>
    <t>petG</t>
  </si>
  <si>
    <t>trnW</t>
  </si>
  <si>
    <t>trnP</t>
  </si>
  <si>
    <t>psaJ</t>
  </si>
  <si>
    <t>rpl33</t>
  </si>
  <si>
    <t>rps18</t>
  </si>
  <si>
    <t>rpl20</t>
  </si>
  <si>
    <t>rps12-1</t>
  </si>
  <si>
    <t>clpP</t>
  </si>
  <si>
    <t>psbB</t>
  </si>
  <si>
    <t>psbT</t>
  </si>
  <si>
    <t>psbN</t>
  </si>
  <si>
    <t>psbH</t>
  </si>
  <si>
    <t>petB</t>
  </si>
  <si>
    <t>petD</t>
  </si>
  <si>
    <t>rpoA</t>
  </si>
  <si>
    <t>rps11</t>
  </si>
  <si>
    <t>rpl36</t>
  </si>
  <si>
    <t>rps8</t>
  </si>
  <si>
    <t>rpl14</t>
  </si>
  <si>
    <t>rpl16-2</t>
  </si>
  <si>
    <t>rps3-2</t>
  </si>
  <si>
    <t>rpl22</t>
  </si>
  <si>
    <t>rps19-3</t>
  </si>
  <si>
    <t>rpl2-2</t>
  </si>
  <si>
    <t>rpl23</t>
  </si>
  <si>
    <t>trnI</t>
  </si>
  <si>
    <t>ycf2</t>
  </si>
  <si>
    <t>orf77</t>
  </si>
  <si>
    <t>trnL-2</t>
  </si>
  <si>
    <t>ndhB</t>
  </si>
  <si>
    <t>rps7-2</t>
  </si>
  <si>
    <t>rps12-2</t>
  </si>
  <si>
    <t>trnV-2</t>
  </si>
  <si>
    <t>rrn16S</t>
  </si>
  <si>
    <t>trnI-2</t>
  </si>
  <si>
    <t>trnA</t>
  </si>
  <si>
    <t>rrn23S</t>
  </si>
  <si>
    <t>rrn4.5S</t>
  </si>
  <si>
    <t>rrn5s</t>
  </si>
  <si>
    <t>trnR-2</t>
  </si>
  <si>
    <t>trnN</t>
  </si>
  <si>
    <t>ycf1</t>
  </si>
  <si>
    <t>ndhF</t>
  </si>
  <si>
    <t>rpl32</t>
  </si>
  <si>
    <t>trnL-3</t>
  </si>
  <si>
    <t>ycf5</t>
  </si>
  <si>
    <t>ndhD</t>
  </si>
  <si>
    <t>psaC</t>
  </si>
  <si>
    <t>ndhE</t>
  </si>
  <si>
    <t>ndhG</t>
  </si>
  <si>
    <t>ndhI</t>
  </si>
  <si>
    <t>ndhA</t>
  </si>
  <si>
    <t>ndhH</t>
  </si>
  <si>
    <t>rps15</t>
  </si>
  <si>
    <t>ycf1-2</t>
  </si>
  <si>
    <t>trnN-2</t>
  </si>
  <si>
    <t>trnR-3</t>
  </si>
  <si>
    <t>rrn5S-2</t>
  </si>
  <si>
    <t>rrn4.5S-2</t>
  </si>
  <si>
    <t>rrn23S-2</t>
  </si>
  <si>
    <t>trnA-2</t>
  </si>
  <si>
    <t>trnI-3</t>
  </si>
  <si>
    <t>rrn16S-2</t>
  </si>
  <si>
    <t>trnV-3</t>
  </si>
  <si>
    <t>rps12-3</t>
  </si>
  <si>
    <t>rps7-3</t>
  </si>
  <si>
    <t>ndhB-2</t>
  </si>
  <si>
    <t>trnL-4</t>
  </si>
  <si>
    <t>orf77-2</t>
  </si>
  <si>
    <t>ycf2-2</t>
  </si>
  <si>
    <t>trnI-4</t>
  </si>
  <si>
    <t>rpl23-2</t>
  </si>
  <si>
    <t>rpl2-3</t>
  </si>
  <si>
    <t>FPKM_1</t>
  </si>
  <si>
    <t>FPKM_2</t>
  </si>
  <si>
    <t>FPKM_3</t>
  </si>
  <si>
    <t>FPKM_average</t>
  </si>
  <si>
    <t>FPKM_std</t>
  </si>
  <si>
    <t>std/average</t>
  </si>
  <si>
    <t>color</t>
  </si>
  <si>
    <t>255,0,0</t>
  </si>
  <si>
    <t>blockSizes</t>
  </si>
  <si>
    <t>blockStarts</t>
  </si>
  <si>
    <t>0,</t>
  </si>
  <si>
    <t>1</t>
  </si>
  <si>
    <t>Product</t>
  </si>
  <si>
    <t>Polymerse</t>
  </si>
  <si>
    <t>tRNA</t>
  </si>
  <si>
    <t>protein_coding</t>
  </si>
  <si>
    <t>rRNA</t>
  </si>
  <si>
    <t>NEP</t>
  </si>
  <si>
    <t>Polymerase</t>
  </si>
  <si>
    <t>NEP/PEP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</si>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</sst>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29F2-371A-4251-837F-2449CE059540}">
  <dimension ref="A1:T134"/>
  <sheetViews>
    <sheetView tabSelected="1" workbookViewId="0">
      <selection activeCell="P138" sqref="P138"/>
    </sheetView>
  </sheetViews>
  <sheetFormatPr defaultRowHeight="14.4" x14ac:dyDescent="0.55000000000000004"/>
  <cols>
    <col min="4" max="4" width="12.3671875" customWidth="1"/>
    <col min="9" max="9" width="8.734375" style="1"/>
    <col min="12" max="12" width="10" customWidth="1"/>
  </cols>
  <sheetData>
    <row r="1" spans="1:2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145</v>
      </c>
      <c r="F1" s="2" t="s">
        <v>5</v>
      </c>
      <c r="G1" s="2" t="s">
        <v>1</v>
      </c>
      <c r="H1" s="2" t="s">
        <v>2</v>
      </c>
      <c r="I1" s="4" t="s">
        <v>148</v>
      </c>
      <c r="J1" s="4" t="s">
        <v>150</v>
      </c>
      <c r="K1" s="2" t="s">
        <v>4</v>
      </c>
      <c r="L1" s="4" t="s">
        <v>151</v>
      </c>
      <c r="M1" s="2" t="s">
        <v>142</v>
      </c>
      <c r="N1" s="2" t="s">
        <v>143</v>
      </c>
      <c r="O1" s="2" t="s">
        <v>144</v>
      </c>
      <c r="P1" s="2" t="s">
        <v>145</v>
      </c>
      <c r="Q1" s="2" t="s">
        <v>146</v>
      </c>
      <c r="R1" s="2" t="s">
        <v>147</v>
      </c>
      <c r="S1" s="2" t="s">
        <v>154</v>
      </c>
      <c r="T1" s="2" t="s">
        <v>160</v>
      </c>
    </row>
    <row r="2" spans="1:20" x14ac:dyDescent="0.55000000000000004">
      <c r="A2" t="s">
        <v>6</v>
      </c>
      <c r="B2">
        <v>4</v>
      </c>
      <c r="C2">
        <v>76</v>
      </c>
      <c r="D2" t="s">
        <v>7</v>
      </c>
      <c r="E2">
        <v>125.50814078613332</v>
      </c>
      <c r="F2" t="s">
        <v>8</v>
      </c>
      <c r="G2">
        <v>4</v>
      </c>
      <c r="H2">
        <v>76</v>
      </c>
      <c r="I2" s="1" t="s">
        <v>149</v>
      </c>
      <c r="J2" s="1" t="s">
        <v>153</v>
      </c>
      <c r="K2">
        <v>72</v>
      </c>
      <c r="L2" s="1" t="s">
        <v>152</v>
      </c>
      <c r="M2">
        <v>160.57200861600001</v>
      </c>
      <c r="N2">
        <v>73.246344316399998</v>
      </c>
      <c r="O2">
        <v>142.706069426</v>
      </c>
      <c r="P2">
        <f t="shared" ref="P2:P33" si="0">AVERAGE(M2:O2)</f>
        <v>125.50814078613332</v>
      </c>
      <c r="Q2">
        <f t="shared" ref="Q2:Q33" si="1">_xlfn.STDEV.P(M2:O2)</f>
        <v>37.6675764503821</v>
      </c>
      <c r="R2">
        <f t="shared" ref="R2:R33" si="2">Q2/P2</f>
        <v>0.30012058352906279</v>
      </c>
      <c r="S2" s="3" t="s">
        <v>156</v>
      </c>
      <c r="T2" t="s">
        <v>162</v>
      </c>
    </row>
    <row r="3" spans="1:20" x14ac:dyDescent="0.55000000000000004">
      <c r="A3" t="s">
        <v>6</v>
      </c>
      <c r="B3">
        <v>383</v>
      </c>
      <c r="C3">
        <v>1444</v>
      </c>
      <c r="D3" t="s">
        <v>9</v>
      </c>
      <c r="E3">
        <v>54590.667350033335</v>
      </c>
      <c r="F3" t="s">
        <v>8</v>
      </c>
      <c r="G3">
        <v>383</v>
      </c>
      <c r="H3">
        <v>1444</v>
      </c>
      <c r="I3" s="1" t="s">
        <v>149</v>
      </c>
      <c r="J3" s="1" t="s">
        <v>153</v>
      </c>
      <c r="K3">
        <v>1061</v>
      </c>
      <c r="L3" s="1" t="s">
        <v>152</v>
      </c>
      <c r="M3">
        <v>44043.312272900002</v>
      </c>
      <c r="N3">
        <v>84639.663186100006</v>
      </c>
      <c r="O3">
        <v>35089.026591100002</v>
      </c>
      <c r="P3">
        <f t="shared" si="0"/>
        <v>54590.667350033335</v>
      </c>
      <c r="Q3">
        <f t="shared" si="1"/>
        <v>21560.015786710148</v>
      </c>
      <c r="R3">
        <f t="shared" si="2"/>
        <v>0.39493959010370999</v>
      </c>
      <c r="S3" t="s">
        <v>157</v>
      </c>
      <c r="T3" t="s">
        <v>162</v>
      </c>
    </row>
    <row r="4" spans="1:20" x14ac:dyDescent="0.55000000000000004">
      <c r="A4" t="s">
        <v>6</v>
      </c>
      <c r="B4">
        <v>1717</v>
      </c>
      <c r="C4">
        <v>4347</v>
      </c>
      <c r="D4" t="s">
        <v>10</v>
      </c>
      <c r="E4">
        <v>374.24296728400003</v>
      </c>
      <c r="F4" t="s">
        <v>8</v>
      </c>
      <c r="G4">
        <v>1717</v>
      </c>
      <c r="H4">
        <v>4347</v>
      </c>
      <c r="I4" s="1" t="s">
        <v>149</v>
      </c>
      <c r="J4" s="1" t="s">
        <v>153</v>
      </c>
      <c r="K4">
        <v>2630</v>
      </c>
      <c r="L4" s="1" t="s">
        <v>152</v>
      </c>
      <c r="M4">
        <v>250.34131825099999</v>
      </c>
      <c r="N4">
        <v>360.37264461000001</v>
      </c>
      <c r="O4">
        <v>512.01493899100001</v>
      </c>
      <c r="P4">
        <f t="shared" si="0"/>
        <v>374.24296728400003</v>
      </c>
      <c r="Q4">
        <f t="shared" si="1"/>
        <v>107.27708775597876</v>
      </c>
      <c r="R4">
        <f t="shared" si="2"/>
        <v>0.28665091166447998</v>
      </c>
      <c r="S4" t="s">
        <v>156</v>
      </c>
      <c r="T4" t="s">
        <v>161</v>
      </c>
    </row>
    <row r="5" spans="1:20" x14ac:dyDescent="0.55000000000000004">
      <c r="A5" t="s">
        <v>6</v>
      </c>
      <c r="B5">
        <v>2056</v>
      </c>
      <c r="C5">
        <v>3636</v>
      </c>
      <c r="D5" t="s">
        <v>11</v>
      </c>
      <c r="E5">
        <v>319.14453496900001</v>
      </c>
      <c r="F5" t="s">
        <v>8</v>
      </c>
      <c r="G5">
        <v>2056</v>
      </c>
      <c r="H5">
        <v>3636</v>
      </c>
      <c r="I5" s="1" t="s">
        <v>149</v>
      </c>
      <c r="J5" s="1" t="s">
        <v>153</v>
      </c>
      <c r="K5">
        <v>1580</v>
      </c>
      <c r="L5" s="1" t="s">
        <v>152</v>
      </c>
      <c r="M5">
        <v>204.807087403</v>
      </c>
      <c r="N5">
        <v>311.36081554399999</v>
      </c>
      <c r="O5">
        <v>441.26570196</v>
      </c>
      <c r="P5">
        <f t="shared" si="0"/>
        <v>319.14453496900001</v>
      </c>
      <c r="Q5">
        <f t="shared" si="1"/>
        <v>96.690602148017518</v>
      </c>
      <c r="R5">
        <f t="shared" si="2"/>
        <v>0.30296806479048599</v>
      </c>
      <c r="S5" t="s">
        <v>157</v>
      </c>
      <c r="T5" t="s">
        <v>159</v>
      </c>
    </row>
    <row r="6" spans="1:20" x14ac:dyDescent="0.55000000000000004">
      <c r="A6" t="s">
        <v>6</v>
      </c>
      <c r="B6">
        <v>5084</v>
      </c>
      <c r="C6">
        <v>6188</v>
      </c>
      <c r="D6" t="s">
        <v>12</v>
      </c>
      <c r="E6">
        <v>127.90565450143333</v>
      </c>
      <c r="F6" t="s">
        <v>8</v>
      </c>
      <c r="G6">
        <v>5084</v>
      </c>
      <c r="H6">
        <v>6188</v>
      </c>
      <c r="I6" s="1" t="s">
        <v>149</v>
      </c>
      <c r="J6" s="1" t="s">
        <v>153</v>
      </c>
      <c r="K6">
        <v>1104</v>
      </c>
      <c r="L6" s="1" t="s">
        <v>152</v>
      </c>
      <c r="M6">
        <v>66.679414402899994</v>
      </c>
      <c r="N6">
        <v>65.885657541399993</v>
      </c>
      <c r="O6">
        <v>251.15189156</v>
      </c>
      <c r="P6">
        <f t="shared" si="0"/>
        <v>127.90565450143333</v>
      </c>
      <c r="Q6">
        <f t="shared" si="1"/>
        <v>87.14885244725869</v>
      </c>
      <c r="R6">
        <f t="shared" si="2"/>
        <v>0.6813526171845834</v>
      </c>
      <c r="S6" t="s">
        <v>157</v>
      </c>
      <c r="T6" t="s">
        <v>161</v>
      </c>
    </row>
    <row r="7" spans="1:20" x14ac:dyDescent="0.55000000000000004">
      <c r="A7" t="s">
        <v>6</v>
      </c>
      <c r="B7">
        <v>6616</v>
      </c>
      <c r="C7">
        <v>6687</v>
      </c>
      <c r="D7" t="s">
        <v>13</v>
      </c>
      <c r="E7">
        <v>56.261320645633333</v>
      </c>
      <c r="F7" t="s">
        <v>8</v>
      </c>
      <c r="G7">
        <v>6616</v>
      </c>
      <c r="H7">
        <v>6687</v>
      </c>
      <c r="I7" s="1" t="s">
        <v>149</v>
      </c>
      <c r="J7" s="1" t="s">
        <v>153</v>
      </c>
      <c r="K7">
        <v>71</v>
      </c>
      <c r="L7" s="1" t="s">
        <v>152</v>
      </c>
      <c r="M7">
        <v>36.554478535100003</v>
      </c>
      <c r="N7">
        <v>42.044141303099998</v>
      </c>
      <c r="O7">
        <v>90.185342098700005</v>
      </c>
      <c r="P7">
        <f t="shared" si="0"/>
        <v>56.261320645633333</v>
      </c>
      <c r="Q7">
        <f t="shared" si="1"/>
        <v>24.092371171357502</v>
      </c>
      <c r="R7">
        <f t="shared" si="2"/>
        <v>0.42822263848204578</v>
      </c>
      <c r="S7" t="s">
        <v>156</v>
      </c>
      <c r="T7" t="s">
        <v>162</v>
      </c>
    </row>
    <row r="8" spans="1:20" x14ac:dyDescent="0.55000000000000004">
      <c r="A8" t="s">
        <v>6</v>
      </c>
      <c r="B8">
        <v>7017</v>
      </c>
      <c r="C8">
        <v>7202</v>
      </c>
      <c r="D8" t="s">
        <v>14</v>
      </c>
      <c r="E8">
        <v>124.94276716040001</v>
      </c>
      <c r="F8" t="s">
        <v>15</v>
      </c>
      <c r="G8">
        <v>7017</v>
      </c>
      <c r="H8">
        <v>7202</v>
      </c>
      <c r="I8" s="1" t="s">
        <v>149</v>
      </c>
      <c r="J8" s="1" t="s">
        <v>153</v>
      </c>
      <c r="K8">
        <v>185</v>
      </c>
      <c r="L8" s="1" t="s">
        <v>152</v>
      </c>
      <c r="M8">
        <v>78.434953574199994</v>
      </c>
      <c r="N8">
        <v>194.168177611</v>
      </c>
      <c r="O8">
        <v>102.225170296</v>
      </c>
      <c r="P8">
        <f t="shared" si="0"/>
        <v>124.94276716040001</v>
      </c>
      <c r="Q8">
        <f t="shared" si="1"/>
        <v>49.903985759042541</v>
      </c>
      <c r="R8">
        <f t="shared" si="2"/>
        <v>0.39941476320094954</v>
      </c>
      <c r="S8" t="s">
        <v>157</v>
      </c>
      <c r="T8" t="s">
        <v>162</v>
      </c>
    </row>
    <row r="9" spans="1:20" x14ac:dyDescent="0.55000000000000004">
      <c r="A9" t="s">
        <v>6</v>
      </c>
      <c r="B9">
        <v>7583</v>
      </c>
      <c r="C9">
        <v>7693</v>
      </c>
      <c r="D9" t="s">
        <v>16</v>
      </c>
      <c r="E9">
        <v>451.21055733266667</v>
      </c>
      <c r="F9" t="s">
        <v>15</v>
      </c>
      <c r="G9">
        <v>7583</v>
      </c>
      <c r="H9">
        <v>7693</v>
      </c>
      <c r="I9" s="1" t="s">
        <v>149</v>
      </c>
      <c r="J9" s="1" t="s">
        <v>153</v>
      </c>
      <c r="K9">
        <v>110</v>
      </c>
      <c r="L9" s="1" t="s">
        <v>152</v>
      </c>
      <c r="M9">
        <v>516.92866298700005</v>
      </c>
      <c r="N9">
        <v>430.58296953899998</v>
      </c>
      <c r="O9">
        <v>406.12003947199997</v>
      </c>
      <c r="P9">
        <f t="shared" si="0"/>
        <v>451.21055733266667</v>
      </c>
      <c r="Q9">
        <f t="shared" si="1"/>
        <v>47.530767543850445</v>
      </c>
      <c r="R9">
        <f t="shared" si="2"/>
        <v>0.1053405483790734</v>
      </c>
      <c r="S9" t="s">
        <v>157</v>
      </c>
      <c r="T9" t="s">
        <v>162</v>
      </c>
    </row>
    <row r="10" spans="1:20" x14ac:dyDescent="0.55000000000000004">
      <c r="A10" t="s">
        <v>6</v>
      </c>
      <c r="B10">
        <v>7785</v>
      </c>
      <c r="C10">
        <v>7872</v>
      </c>
      <c r="D10" t="s">
        <v>17</v>
      </c>
      <c r="E10">
        <v>3918.7374730899996</v>
      </c>
      <c r="F10" t="s">
        <v>15</v>
      </c>
      <c r="G10">
        <v>7785</v>
      </c>
      <c r="H10">
        <v>7872</v>
      </c>
      <c r="I10" s="1" t="s">
        <v>149</v>
      </c>
      <c r="J10" s="1" t="s">
        <v>153</v>
      </c>
      <c r="K10">
        <v>87</v>
      </c>
      <c r="L10" s="1" t="s">
        <v>152</v>
      </c>
      <c r="M10">
        <v>2423.15703923</v>
      </c>
      <c r="N10">
        <v>2537.9357924000001</v>
      </c>
      <c r="O10">
        <v>6795.1195876399997</v>
      </c>
      <c r="P10">
        <f t="shared" si="0"/>
        <v>3918.7374730899996</v>
      </c>
      <c r="Q10">
        <f t="shared" si="1"/>
        <v>2034.4489986598605</v>
      </c>
      <c r="R10">
        <f t="shared" si="2"/>
        <v>0.5191592987870296</v>
      </c>
      <c r="S10" t="s">
        <v>156</v>
      </c>
      <c r="T10" t="s">
        <v>162</v>
      </c>
    </row>
    <row r="11" spans="1:20" x14ac:dyDescent="0.55000000000000004">
      <c r="A11" t="s">
        <v>6</v>
      </c>
      <c r="B11">
        <v>8646</v>
      </c>
      <c r="C11">
        <v>9431</v>
      </c>
      <c r="D11" t="s">
        <v>18</v>
      </c>
      <c r="E11">
        <v>24993.997961533332</v>
      </c>
      <c r="F11" t="s">
        <v>15</v>
      </c>
      <c r="G11">
        <v>8646</v>
      </c>
      <c r="H11">
        <v>9431</v>
      </c>
      <c r="I11" s="1" t="s">
        <v>149</v>
      </c>
      <c r="J11" s="1" t="s">
        <v>153</v>
      </c>
      <c r="K11">
        <v>785</v>
      </c>
      <c r="L11" s="1" t="s">
        <v>152</v>
      </c>
      <c r="M11">
        <v>15343.4788427</v>
      </c>
      <c r="N11">
        <v>13150.3076463</v>
      </c>
      <c r="O11">
        <v>46488.207395600002</v>
      </c>
      <c r="P11">
        <f t="shared" si="0"/>
        <v>24993.997961533332</v>
      </c>
      <c r="Q11">
        <f t="shared" si="1"/>
        <v>15225.051272400151</v>
      </c>
      <c r="R11">
        <f t="shared" si="2"/>
        <v>0.60914829615622346</v>
      </c>
      <c r="S11" t="s">
        <v>156</v>
      </c>
      <c r="T11" t="s">
        <v>162</v>
      </c>
    </row>
    <row r="12" spans="1:20" x14ac:dyDescent="0.55000000000000004">
      <c r="A12" t="s">
        <v>6</v>
      </c>
      <c r="B12">
        <v>9590</v>
      </c>
      <c r="C12">
        <v>9661</v>
      </c>
      <c r="D12" t="s">
        <v>19</v>
      </c>
      <c r="E12">
        <v>425.99668933396669</v>
      </c>
      <c r="F12" t="s">
        <v>15</v>
      </c>
      <c r="G12">
        <v>9590</v>
      </c>
      <c r="H12">
        <v>9661</v>
      </c>
      <c r="I12" s="1" t="s">
        <v>149</v>
      </c>
      <c r="J12" s="1" t="s">
        <v>153</v>
      </c>
      <c r="K12">
        <v>71</v>
      </c>
      <c r="L12" s="1" t="s">
        <v>152</v>
      </c>
      <c r="M12">
        <v>46.523881771900001</v>
      </c>
      <c r="N12">
        <v>142.95008043000001</v>
      </c>
      <c r="O12">
        <v>1088.5161058000001</v>
      </c>
      <c r="P12">
        <f t="shared" si="0"/>
        <v>425.99668933396669</v>
      </c>
      <c r="Q12">
        <f t="shared" si="1"/>
        <v>470.12302350397806</v>
      </c>
      <c r="R12">
        <f t="shared" si="2"/>
        <v>1.1035837490638756</v>
      </c>
      <c r="S12" t="s">
        <v>156</v>
      </c>
      <c r="T12" t="s">
        <v>162</v>
      </c>
    </row>
    <row r="13" spans="1:20" x14ac:dyDescent="0.55000000000000004">
      <c r="A13" t="s">
        <v>6</v>
      </c>
      <c r="B13">
        <v>9938</v>
      </c>
      <c r="C13">
        <v>11461</v>
      </c>
      <c r="D13" t="s">
        <v>20</v>
      </c>
      <c r="E13">
        <v>243.066487607</v>
      </c>
      <c r="F13" t="s">
        <v>8</v>
      </c>
      <c r="G13">
        <v>9938</v>
      </c>
      <c r="H13">
        <v>11461</v>
      </c>
      <c r="I13" s="1" t="s">
        <v>149</v>
      </c>
      <c r="J13" s="1" t="s">
        <v>153</v>
      </c>
      <c r="K13">
        <v>1523</v>
      </c>
      <c r="L13" s="1" t="s">
        <v>152</v>
      </c>
      <c r="M13">
        <v>245.00533958299999</v>
      </c>
      <c r="N13">
        <v>231.153517335</v>
      </c>
      <c r="O13">
        <v>253.040605903</v>
      </c>
      <c r="P13">
        <f t="shared" si="0"/>
        <v>243.066487607</v>
      </c>
      <c r="Q13">
        <f t="shared" si="1"/>
        <v>9.0399307421572033</v>
      </c>
      <c r="R13">
        <f t="shared" si="2"/>
        <v>3.7191185140969904E-2</v>
      </c>
      <c r="S13" t="s">
        <v>157</v>
      </c>
      <c r="T13" t="s">
        <v>162</v>
      </c>
    </row>
    <row r="14" spans="1:20" x14ac:dyDescent="0.55000000000000004">
      <c r="A14" t="s">
        <v>6</v>
      </c>
      <c r="B14">
        <v>11529</v>
      </c>
      <c r="C14">
        <v>12798</v>
      </c>
      <c r="D14" t="s">
        <v>21</v>
      </c>
      <c r="E14">
        <v>418.50095326000002</v>
      </c>
      <c r="F14" t="s">
        <v>8</v>
      </c>
      <c r="G14">
        <v>11529</v>
      </c>
      <c r="H14">
        <v>12798</v>
      </c>
      <c r="I14" s="1" t="s">
        <v>149</v>
      </c>
      <c r="J14" s="1" t="s">
        <v>153</v>
      </c>
      <c r="K14">
        <v>1269</v>
      </c>
      <c r="L14" s="1" t="s">
        <v>152</v>
      </c>
      <c r="M14">
        <v>317.65786854200002</v>
      </c>
      <c r="N14">
        <v>398.64516473100002</v>
      </c>
      <c r="O14">
        <v>539.19982650700001</v>
      </c>
      <c r="P14">
        <f t="shared" si="0"/>
        <v>418.50095326000002</v>
      </c>
      <c r="Q14">
        <f t="shared" si="1"/>
        <v>91.527405871402607</v>
      </c>
      <c r="R14">
        <f t="shared" si="2"/>
        <v>0.21870298062269844</v>
      </c>
      <c r="S14" t="s">
        <v>157</v>
      </c>
      <c r="T14" t="s">
        <v>161</v>
      </c>
    </row>
    <row r="15" spans="1:20" x14ac:dyDescent="0.55000000000000004">
      <c r="A15" t="s">
        <v>6</v>
      </c>
      <c r="B15">
        <v>13262</v>
      </c>
      <c r="C15">
        <v>13507</v>
      </c>
      <c r="D15" t="s">
        <v>22</v>
      </c>
      <c r="E15">
        <v>481.39270229366667</v>
      </c>
      <c r="F15" t="s">
        <v>8</v>
      </c>
      <c r="G15">
        <v>13262</v>
      </c>
      <c r="H15">
        <v>13507</v>
      </c>
      <c r="I15" s="1" t="s">
        <v>149</v>
      </c>
      <c r="J15" s="1" t="s">
        <v>153</v>
      </c>
      <c r="K15">
        <v>245</v>
      </c>
      <c r="L15" s="1" t="s">
        <v>152</v>
      </c>
      <c r="M15">
        <v>677.01064457200005</v>
      </c>
      <c r="N15">
        <v>403.70384058799999</v>
      </c>
      <c r="O15">
        <v>363.46362172099998</v>
      </c>
      <c r="P15">
        <f t="shared" si="0"/>
        <v>481.39270229366667</v>
      </c>
      <c r="Q15">
        <f t="shared" si="1"/>
        <v>139.29489894829354</v>
      </c>
      <c r="R15">
        <f t="shared" si="2"/>
        <v>0.28935814416089484</v>
      </c>
      <c r="S15" t="s">
        <v>157</v>
      </c>
      <c r="T15" t="s">
        <v>162</v>
      </c>
    </row>
    <row r="16" spans="1:20" x14ac:dyDescent="0.55000000000000004">
      <c r="A16" t="s">
        <v>6</v>
      </c>
      <c r="B16">
        <v>14021</v>
      </c>
      <c r="C16">
        <v>14770</v>
      </c>
      <c r="D16" t="s">
        <v>23</v>
      </c>
      <c r="E16">
        <v>226.48821028</v>
      </c>
      <c r="F16" t="s">
        <v>8</v>
      </c>
      <c r="G16">
        <v>14021</v>
      </c>
      <c r="H16">
        <v>14770</v>
      </c>
      <c r="I16" s="1" t="s">
        <v>149</v>
      </c>
      <c r="J16" s="1" t="s">
        <v>153</v>
      </c>
      <c r="K16">
        <v>749</v>
      </c>
      <c r="L16" s="1" t="s">
        <v>152</v>
      </c>
      <c r="M16">
        <v>298.94455749700001</v>
      </c>
      <c r="N16">
        <v>139.75794402400001</v>
      </c>
      <c r="O16">
        <v>240.762129319</v>
      </c>
      <c r="P16">
        <f t="shared" si="0"/>
        <v>226.48821028</v>
      </c>
      <c r="Q16">
        <f t="shared" si="1"/>
        <v>65.766775050423576</v>
      </c>
      <c r="R16">
        <f t="shared" si="2"/>
        <v>0.29037615233533903</v>
      </c>
      <c r="S16" t="s">
        <v>157</v>
      </c>
      <c r="T16" t="s">
        <v>162</v>
      </c>
    </row>
    <row r="17" spans="1:20" x14ac:dyDescent="0.55000000000000004">
      <c r="A17" t="s">
        <v>6</v>
      </c>
      <c r="B17">
        <v>15013</v>
      </c>
      <c r="C17">
        <v>15723</v>
      </c>
      <c r="D17" t="s">
        <v>24</v>
      </c>
      <c r="E17">
        <v>75.695291528433344</v>
      </c>
      <c r="F17" t="s">
        <v>8</v>
      </c>
      <c r="G17">
        <v>15013</v>
      </c>
      <c r="H17">
        <v>15723</v>
      </c>
      <c r="I17" s="1" t="s">
        <v>149</v>
      </c>
      <c r="J17" s="1" t="s">
        <v>153</v>
      </c>
      <c r="K17">
        <v>710</v>
      </c>
      <c r="L17" s="1" t="s">
        <v>152</v>
      </c>
      <c r="M17">
        <v>64.136494157000001</v>
      </c>
      <c r="N17">
        <v>54.517236556299999</v>
      </c>
      <c r="O17">
        <v>108.432143872</v>
      </c>
      <c r="P17">
        <f t="shared" si="0"/>
        <v>75.695291528433344</v>
      </c>
      <c r="Q17">
        <f t="shared" si="1"/>
        <v>23.479191570701051</v>
      </c>
      <c r="R17">
        <f t="shared" si="2"/>
        <v>0.3101803440691101</v>
      </c>
      <c r="S17" t="s">
        <v>157</v>
      </c>
      <c r="T17" t="s">
        <v>162</v>
      </c>
    </row>
    <row r="18" spans="1:20" x14ac:dyDescent="0.55000000000000004">
      <c r="A18" t="s">
        <v>6</v>
      </c>
      <c r="B18">
        <v>15938</v>
      </c>
      <c r="C18">
        <v>20068</v>
      </c>
      <c r="D18" t="s">
        <v>25</v>
      </c>
      <c r="E18">
        <v>54.409380736966661</v>
      </c>
      <c r="F18" t="s">
        <v>8</v>
      </c>
      <c r="G18">
        <v>15938</v>
      </c>
      <c r="H18">
        <v>20068</v>
      </c>
      <c r="I18" s="1" t="s">
        <v>149</v>
      </c>
      <c r="J18" s="1" t="s">
        <v>153</v>
      </c>
      <c r="K18">
        <v>4130</v>
      </c>
      <c r="L18" s="1" t="s">
        <v>152</v>
      </c>
      <c r="M18">
        <v>36.334009084999998</v>
      </c>
      <c r="N18">
        <v>31.778787642400001</v>
      </c>
      <c r="O18">
        <v>95.115345483499993</v>
      </c>
      <c r="P18">
        <f t="shared" si="0"/>
        <v>54.409380736966661</v>
      </c>
      <c r="Q18">
        <f t="shared" si="1"/>
        <v>28.843476270580293</v>
      </c>
      <c r="R18">
        <f t="shared" si="2"/>
        <v>0.53011954703214526</v>
      </c>
      <c r="S18" t="s">
        <v>157</v>
      </c>
      <c r="T18" t="s">
        <v>159</v>
      </c>
    </row>
    <row r="19" spans="1:20" x14ac:dyDescent="0.55000000000000004">
      <c r="A19" t="s">
        <v>6</v>
      </c>
      <c r="B19">
        <v>20251</v>
      </c>
      <c r="C19">
        <v>23084</v>
      </c>
      <c r="D19" t="s">
        <v>26</v>
      </c>
      <c r="E19">
        <v>140.03268658189998</v>
      </c>
      <c r="F19" t="s">
        <v>8</v>
      </c>
      <c r="G19">
        <v>20251</v>
      </c>
      <c r="H19">
        <v>23084</v>
      </c>
      <c r="I19" s="1" t="s">
        <v>149</v>
      </c>
      <c r="J19" s="1" t="s">
        <v>153</v>
      </c>
      <c r="K19">
        <v>2833</v>
      </c>
      <c r="L19" s="1" t="s">
        <v>152</v>
      </c>
      <c r="M19">
        <v>98.441258788300004</v>
      </c>
      <c r="N19">
        <v>86.122469087400006</v>
      </c>
      <c r="O19">
        <v>235.53433186999999</v>
      </c>
      <c r="P19">
        <f t="shared" si="0"/>
        <v>140.03268658189998</v>
      </c>
      <c r="Q19">
        <f t="shared" si="1"/>
        <v>67.716868083091924</v>
      </c>
      <c r="R19">
        <f t="shared" si="2"/>
        <v>0.48357901098674427</v>
      </c>
      <c r="S19" t="s">
        <v>157</v>
      </c>
      <c r="T19" t="s">
        <v>159</v>
      </c>
    </row>
    <row r="20" spans="1:20" x14ac:dyDescent="0.55000000000000004">
      <c r="A20" t="s">
        <v>6</v>
      </c>
      <c r="B20">
        <v>23111</v>
      </c>
      <c r="C20">
        <v>26329</v>
      </c>
      <c r="D20" t="s">
        <v>27</v>
      </c>
      <c r="E20">
        <v>117.95170681236668</v>
      </c>
      <c r="F20" t="s">
        <v>8</v>
      </c>
      <c r="G20">
        <v>23111</v>
      </c>
      <c r="H20">
        <v>26329</v>
      </c>
      <c r="I20" s="1" t="s">
        <v>149</v>
      </c>
      <c r="J20" s="1" t="s">
        <v>153</v>
      </c>
      <c r="K20">
        <v>3218</v>
      </c>
      <c r="L20" s="1" t="s">
        <v>152</v>
      </c>
      <c r="M20">
        <v>112.215681317</v>
      </c>
      <c r="N20">
        <v>64.408889473100004</v>
      </c>
      <c r="O20">
        <v>177.230549647</v>
      </c>
      <c r="P20">
        <f t="shared" si="0"/>
        <v>117.95170681236668</v>
      </c>
      <c r="Q20">
        <f t="shared" si="1"/>
        <v>46.237490145705834</v>
      </c>
      <c r="R20">
        <f t="shared" si="2"/>
        <v>0.3920035698954214</v>
      </c>
      <c r="S20" t="s">
        <v>157</v>
      </c>
      <c r="T20" t="s">
        <v>159</v>
      </c>
    </row>
    <row r="21" spans="1:20" x14ac:dyDescent="0.55000000000000004">
      <c r="A21" t="s">
        <v>6</v>
      </c>
      <c r="B21">
        <v>27373</v>
      </c>
      <c r="C21">
        <v>27443</v>
      </c>
      <c r="D21" t="s">
        <v>28</v>
      </c>
      <c r="E21">
        <v>317.30299064533335</v>
      </c>
      <c r="F21" t="s">
        <v>15</v>
      </c>
      <c r="G21">
        <v>27373</v>
      </c>
      <c r="H21">
        <v>27443</v>
      </c>
      <c r="I21" s="1" t="s">
        <v>149</v>
      </c>
      <c r="J21" s="1" t="s">
        <v>153</v>
      </c>
      <c r="K21">
        <v>70</v>
      </c>
      <c r="L21" s="1" t="s">
        <v>152</v>
      </c>
      <c r="M21">
        <v>168.53038805099999</v>
      </c>
      <c r="N21">
        <v>230.281768223</v>
      </c>
      <c r="O21">
        <v>553.09681566200004</v>
      </c>
      <c r="P21">
        <f t="shared" si="0"/>
        <v>317.30299064533335</v>
      </c>
      <c r="Q21">
        <f t="shared" si="1"/>
        <v>168.62651862479902</v>
      </c>
      <c r="R21">
        <f t="shared" si="2"/>
        <v>0.53143690288529921</v>
      </c>
      <c r="S21" t="s">
        <v>156</v>
      </c>
      <c r="T21" t="s">
        <v>162</v>
      </c>
    </row>
    <row r="22" spans="1:20" x14ac:dyDescent="0.55000000000000004">
      <c r="A22" t="s">
        <v>6</v>
      </c>
      <c r="B22">
        <v>28089</v>
      </c>
      <c r="C22">
        <v>28178</v>
      </c>
      <c r="D22" t="s">
        <v>29</v>
      </c>
      <c r="E22">
        <v>296.22323943733335</v>
      </c>
      <c r="F22" t="s">
        <v>15</v>
      </c>
      <c r="G22">
        <v>28089</v>
      </c>
      <c r="H22">
        <v>28178</v>
      </c>
      <c r="I22" s="1" t="s">
        <v>149</v>
      </c>
      <c r="J22" s="1" t="s">
        <v>153</v>
      </c>
      <c r="K22">
        <v>89</v>
      </c>
      <c r="L22" s="1" t="s">
        <v>152</v>
      </c>
      <c r="M22">
        <v>304.86957838500001</v>
      </c>
      <c r="N22">
        <v>424.85053646300003</v>
      </c>
      <c r="O22">
        <v>158.94960346400001</v>
      </c>
      <c r="P22">
        <f t="shared" si="0"/>
        <v>296.22323943733335</v>
      </c>
      <c r="Q22">
        <f t="shared" si="1"/>
        <v>108.72563612240712</v>
      </c>
      <c r="R22">
        <f t="shared" si="2"/>
        <v>0.36703952170980247</v>
      </c>
      <c r="S22" t="s">
        <v>157</v>
      </c>
      <c r="T22" t="s">
        <v>162</v>
      </c>
    </row>
    <row r="23" spans="1:20" x14ac:dyDescent="0.55000000000000004">
      <c r="A23" t="s">
        <v>6</v>
      </c>
      <c r="B23">
        <v>28707</v>
      </c>
      <c r="C23">
        <v>28811</v>
      </c>
      <c r="D23" t="s">
        <v>30</v>
      </c>
      <c r="E23">
        <v>2105.9544111666669</v>
      </c>
      <c r="F23" t="s">
        <v>8</v>
      </c>
      <c r="G23">
        <v>28707</v>
      </c>
      <c r="H23">
        <v>28811</v>
      </c>
      <c r="I23" s="1" t="s">
        <v>149</v>
      </c>
      <c r="J23" s="1" t="s">
        <v>153</v>
      </c>
      <c r="K23">
        <v>104</v>
      </c>
      <c r="L23" s="1" t="s">
        <v>152</v>
      </c>
      <c r="M23">
        <v>3298.6582491999998</v>
      </c>
      <c r="N23">
        <v>1829.35136865</v>
      </c>
      <c r="O23">
        <v>1189.8536156499999</v>
      </c>
      <c r="P23">
        <f t="shared" si="0"/>
        <v>2105.9544111666669</v>
      </c>
      <c r="Q23">
        <f t="shared" si="1"/>
        <v>882.85377345952907</v>
      </c>
      <c r="R23">
        <f t="shared" si="2"/>
        <v>0.41921789416630412</v>
      </c>
      <c r="S23" t="s">
        <v>157</v>
      </c>
      <c r="T23" t="s">
        <v>162</v>
      </c>
    </row>
    <row r="24" spans="1:20" x14ac:dyDescent="0.55000000000000004">
      <c r="A24" t="s">
        <v>6</v>
      </c>
      <c r="B24">
        <v>29801</v>
      </c>
      <c r="C24">
        <v>29874</v>
      </c>
      <c r="D24" t="s">
        <v>31</v>
      </c>
      <c r="E24">
        <v>849.94118943333331</v>
      </c>
      <c r="F24" t="s">
        <v>8</v>
      </c>
      <c r="G24">
        <v>29801</v>
      </c>
      <c r="H24">
        <v>29874</v>
      </c>
      <c r="I24" s="1" t="s">
        <v>149</v>
      </c>
      <c r="J24" s="1" t="s">
        <v>153</v>
      </c>
      <c r="K24">
        <v>73</v>
      </c>
      <c r="L24" s="1" t="s">
        <v>152</v>
      </c>
      <c r="M24">
        <v>542.99105848900001</v>
      </c>
      <c r="N24">
        <v>119.950591261</v>
      </c>
      <c r="O24">
        <v>1886.8819185499999</v>
      </c>
      <c r="P24">
        <f t="shared" si="0"/>
        <v>849.94118943333331</v>
      </c>
      <c r="Q24">
        <f t="shared" si="1"/>
        <v>753.29293372670281</v>
      </c>
      <c r="R24">
        <f t="shared" si="2"/>
        <v>0.88628830216939225</v>
      </c>
      <c r="S24" t="s">
        <v>156</v>
      </c>
      <c r="T24" t="s">
        <v>162</v>
      </c>
    </row>
    <row r="25" spans="1:20" x14ac:dyDescent="0.55000000000000004">
      <c r="A25" t="s">
        <v>6</v>
      </c>
      <c r="B25">
        <v>30323</v>
      </c>
      <c r="C25">
        <v>30406</v>
      </c>
      <c r="D25" t="s">
        <v>32</v>
      </c>
      <c r="E25">
        <v>449.61672313299999</v>
      </c>
      <c r="F25" t="s">
        <v>8</v>
      </c>
      <c r="G25">
        <v>30323</v>
      </c>
      <c r="H25">
        <v>30406</v>
      </c>
      <c r="I25" s="1" t="s">
        <v>149</v>
      </c>
      <c r="J25" s="1" t="s">
        <v>153</v>
      </c>
      <c r="K25">
        <v>83</v>
      </c>
      <c r="L25" s="1" t="s">
        <v>152</v>
      </c>
      <c r="M25">
        <v>396.55403357099999</v>
      </c>
      <c r="N25">
        <v>354.85930667700001</v>
      </c>
      <c r="O25">
        <v>597.43682915099998</v>
      </c>
      <c r="P25">
        <f t="shared" si="0"/>
        <v>449.61672313299999</v>
      </c>
      <c r="Q25">
        <f t="shared" si="1"/>
        <v>105.90152775124305</v>
      </c>
      <c r="R25">
        <f t="shared" si="2"/>
        <v>0.23553734170140417</v>
      </c>
      <c r="S25" t="s">
        <v>156</v>
      </c>
      <c r="T25" t="s">
        <v>162</v>
      </c>
    </row>
    <row r="26" spans="1:20" x14ac:dyDescent="0.55000000000000004">
      <c r="A26" t="s">
        <v>6</v>
      </c>
      <c r="B26">
        <v>30466</v>
      </c>
      <c r="C26">
        <v>30538</v>
      </c>
      <c r="D26" t="s">
        <v>33</v>
      </c>
      <c r="E26">
        <v>9944.4209180266662</v>
      </c>
      <c r="F26" t="s">
        <v>8</v>
      </c>
      <c r="G26">
        <v>30466</v>
      </c>
      <c r="H26">
        <v>30538</v>
      </c>
      <c r="I26" s="1" t="s">
        <v>149</v>
      </c>
      <c r="J26" s="1" t="s">
        <v>153</v>
      </c>
      <c r="K26">
        <v>72</v>
      </c>
      <c r="L26" s="1" t="s">
        <v>152</v>
      </c>
      <c r="M26">
        <v>4754.8976428799997</v>
      </c>
      <c r="N26">
        <v>4466.6449967999997</v>
      </c>
      <c r="O26">
        <v>20611.720114399999</v>
      </c>
      <c r="P26">
        <f t="shared" si="0"/>
        <v>9944.4209180266662</v>
      </c>
      <c r="Q26">
        <f t="shared" si="1"/>
        <v>7543.8375073390589</v>
      </c>
      <c r="R26">
        <f t="shared" si="2"/>
        <v>0.75859997978002225</v>
      </c>
      <c r="S26" t="s">
        <v>156</v>
      </c>
      <c r="T26" t="s">
        <v>162</v>
      </c>
    </row>
    <row r="27" spans="1:20" x14ac:dyDescent="0.55000000000000004">
      <c r="A27" t="s">
        <v>6</v>
      </c>
      <c r="B27">
        <v>31369</v>
      </c>
      <c r="C27">
        <v>31440</v>
      </c>
      <c r="D27" t="s">
        <v>34</v>
      </c>
      <c r="E27">
        <v>243.15653893746665</v>
      </c>
      <c r="F27" t="s">
        <v>15</v>
      </c>
      <c r="G27">
        <v>31369</v>
      </c>
      <c r="H27">
        <v>31440</v>
      </c>
      <c r="I27" s="1" t="s">
        <v>149</v>
      </c>
      <c r="J27" s="1" t="s">
        <v>153</v>
      </c>
      <c r="K27">
        <v>71</v>
      </c>
      <c r="L27" s="1" t="s">
        <v>152</v>
      </c>
      <c r="M27">
        <v>93.047763543800002</v>
      </c>
      <c r="N27">
        <v>99.5044677506</v>
      </c>
      <c r="O27">
        <v>536.91738551799995</v>
      </c>
      <c r="P27">
        <f t="shared" si="0"/>
        <v>243.15653893746665</v>
      </c>
      <c r="Q27">
        <f t="shared" si="1"/>
        <v>207.73701081750335</v>
      </c>
      <c r="R27">
        <f t="shared" si="2"/>
        <v>0.85433446176385885</v>
      </c>
      <c r="S27" t="s">
        <v>156</v>
      </c>
      <c r="T27" t="s">
        <v>162</v>
      </c>
    </row>
    <row r="28" spans="1:20" x14ac:dyDescent="0.55000000000000004">
      <c r="A28" t="s">
        <v>6</v>
      </c>
      <c r="B28">
        <v>32711</v>
      </c>
      <c r="C28">
        <v>33772</v>
      </c>
      <c r="D28" t="s">
        <v>35</v>
      </c>
      <c r="E28">
        <v>1013.2216592026667</v>
      </c>
      <c r="F28" t="s">
        <v>15</v>
      </c>
      <c r="G28">
        <v>32711</v>
      </c>
      <c r="H28">
        <v>33772</v>
      </c>
      <c r="I28" s="1" t="s">
        <v>149</v>
      </c>
      <c r="J28" s="1" t="s">
        <v>153</v>
      </c>
      <c r="K28">
        <v>1061</v>
      </c>
      <c r="L28" s="1" t="s">
        <v>152</v>
      </c>
      <c r="M28">
        <v>1145.5777678300001</v>
      </c>
      <c r="N28">
        <v>798.09898261800004</v>
      </c>
      <c r="O28">
        <v>1095.98822716</v>
      </c>
      <c r="P28">
        <f t="shared" si="0"/>
        <v>1013.2216592026667</v>
      </c>
      <c r="Q28">
        <f t="shared" si="1"/>
        <v>153.45597657890542</v>
      </c>
      <c r="R28">
        <f t="shared" si="2"/>
        <v>0.15145350988614312</v>
      </c>
      <c r="S28" t="s">
        <v>157</v>
      </c>
      <c r="T28" t="s">
        <v>162</v>
      </c>
    </row>
    <row r="29" spans="1:20" x14ac:dyDescent="0.55000000000000004">
      <c r="A29" t="s">
        <v>6</v>
      </c>
      <c r="B29">
        <v>33756</v>
      </c>
      <c r="C29">
        <v>35141</v>
      </c>
      <c r="D29" t="s">
        <v>36</v>
      </c>
      <c r="E29">
        <v>1420.2179657166669</v>
      </c>
      <c r="F29" t="s">
        <v>15</v>
      </c>
      <c r="G29">
        <v>33756</v>
      </c>
      <c r="H29">
        <v>35141</v>
      </c>
      <c r="I29" s="1" t="s">
        <v>149</v>
      </c>
      <c r="J29" s="1" t="s">
        <v>153</v>
      </c>
      <c r="K29">
        <v>1385</v>
      </c>
      <c r="L29" s="1" t="s">
        <v>152</v>
      </c>
      <c r="M29">
        <v>1490.44137985</v>
      </c>
      <c r="N29">
        <v>1611.1820893700001</v>
      </c>
      <c r="O29">
        <v>1159.0304279300001</v>
      </c>
      <c r="P29">
        <f t="shared" si="0"/>
        <v>1420.2179657166669</v>
      </c>
      <c r="Q29">
        <f t="shared" si="1"/>
        <v>191.15225546693424</v>
      </c>
      <c r="R29">
        <f t="shared" si="2"/>
        <v>0.13459360470100479</v>
      </c>
      <c r="S29" t="s">
        <v>157</v>
      </c>
      <c r="T29" t="s">
        <v>162</v>
      </c>
    </row>
    <row r="30" spans="1:20" x14ac:dyDescent="0.55000000000000004">
      <c r="A30" t="s">
        <v>6</v>
      </c>
      <c r="B30">
        <v>35312</v>
      </c>
      <c r="C30">
        <v>35403</v>
      </c>
      <c r="D30" t="s">
        <v>37</v>
      </c>
      <c r="E30">
        <v>1234.6413282486667</v>
      </c>
      <c r="F30" t="s">
        <v>15</v>
      </c>
      <c r="G30">
        <v>35312</v>
      </c>
      <c r="H30">
        <v>35403</v>
      </c>
      <c r="I30" s="1" t="s">
        <v>149</v>
      </c>
      <c r="J30" s="1" t="s">
        <v>153</v>
      </c>
      <c r="K30">
        <v>91</v>
      </c>
      <c r="L30" s="1" t="s">
        <v>152</v>
      </c>
      <c r="M30">
        <v>1204.3440807699999</v>
      </c>
      <c r="N30">
        <v>591.55952805599998</v>
      </c>
      <c r="O30">
        <v>1908.0203759200001</v>
      </c>
      <c r="P30">
        <f t="shared" si="0"/>
        <v>1234.6413282486667</v>
      </c>
      <c r="Q30">
        <f t="shared" si="1"/>
        <v>537.86970751492584</v>
      </c>
      <c r="R30">
        <f t="shared" si="2"/>
        <v>0.43564855250544032</v>
      </c>
      <c r="S30" t="s">
        <v>156</v>
      </c>
      <c r="T30" t="s">
        <v>162</v>
      </c>
    </row>
    <row r="31" spans="1:20" x14ac:dyDescent="0.55000000000000004">
      <c r="A31" t="s">
        <v>6</v>
      </c>
      <c r="B31">
        <v>35751</v>
      </c>
      <c r="C31">
        <v>35939</v>
      </c>
      <c r="D31" t="s">
        <v>38</v>
      </c>
      <c r="E31">
        <v>246.03814082233336</v>
      </c>
      <c r="F31" t="s">
        <v>15</v>
      </c>
      <c r="G31">
        <v>35751</v>
      </c>
      <c r="H31">
        <v>35939</v>
      </c>
      <c r="I31" s="1" t="s">
        <v>149</v>
      </c>
      <c r="J31" s="1" t="s">
        <v>153</v>
      </c>
      <c r="K31">
        <v>188</v>
      </c>
      <c r="L31" s="1" t="s">
        <v>152</v>
      </c>
      <c r="M31">
        <v>243.47262444</v>
      </c>
      <c r="N31">
        <v>279.98863532000001</v>
      </c>
      <c r="O31">
        <v>214.65316270700001</v>
      </c>
      <c r="P31">
        <f t="shared" si="0"/>
        <v>246.03814082233336</v>
      </c>
      <c r="Q31">
        <f t="shared" si="1"/>
        <v>26.734714026549053</v>
      </c>
      <c r="R31">
        <f t="shared" si="2"/>
        <v>0.10866085208250074</v>
      </c>
      <c r="S31" t="s">
        <v>157</v>
      </c>
      <c r="T31" t="s">
        <v>162</v>
      </c>
    </row>
    <row r="32" spans="1:20" x14ac:dyDescent="0.55000000000000004">
      <c r="A32" t="s">
        <v>6</v>
      </c>
      <c r="B32">
        <v>36490</v>
      </c>
      <c r="C32">
        <v>36560</v>
      </c>
      <c r="D32" t="s">
        <v>39</v>
      </c>
      <c r="E32">
        <v>144.82358009353334</v>
      </c>
      <c r="F32" t="s">
        <v>15</v>
      </c>
      <c r="G32">
        <v>36490</v>
      </c>
      <c r="H32">
        <v>36560</v>
      </c>
      <c r="I32" s="1" t="s">
        <v>149</v>
      </c>
      <c r="J32" s="1" t="s">
        <v>153</v>
      </c>
      <c r="K32">
        <v>70</v>
      </c>
      <c r="L32" s="1" t="s">
        <v>152</v>
      </c>
      <c r="M32">
        <v>77.523978503600006</v>
      </c>
      <c r="N32">
        <v>116.562376508</v>
      </c>
      <c r="O32">
        <v>240.38438526900001</v>
      </c>
      <c r="P32">
        <f t="shared" si="0"/>
        <v>144.82358009353334</v>
      </c>
      <c r="Q32">
        <f t="shared" si="1"/>
        <v>69.425738474166806</v>
      </c>
      <c r="R32">
        <f t="shared" si="2"/>
        <v>0.47938145452093273</v>
      </c>
      <c r="S32" t="s">
        <v>156</v>
      </c>
      <c r="T32" t="s">
        <v>162</v>
      </c>
    </row>
    <row r="33" spans="1:20" x14ac:dyDescent="0.55000000000000004">
      <c r="A33" t="s">
        <v>6</v>
      </c>
      <c r="B33">
        <v>36704</v>
      </c>
      <c r="C33">
        <v>36777</v>
      </c>
      <c r="D33" t="s">
        <v>40</v>
      </c>
      <c r="E33">
        <v>151.23741233706667</v>
      </c>
      <c r="F33" t="s">
        <v>8</v>
      </c>
      <c r="G33">
        <v>36704</v>
      </c>
      <c r="H33">
        <v>36777</v>
      </c>
      <c r="I33" s="1" t="s">
        <v>149</v>
      </c>
      <c r="J33" s="1" t="s">
        <v>153</v>
      </c>
      <c r="K33">
        <v>73</v>
      </c>
      <c r="L33" s="1" t="s">
        <v>152</v>
      </c>
      <c r="M33">
        <v>365.22612862599999</v>
      </c>
      <c r="N33">
        <v>39.5291721201</v>
      </c>
      <c r="O33">
        <v>48.956936265099998</v>
      </c>
      <c r="P33">
        <f t="shared" si="0"/>
        <v>151.23741233706667</v>
      </c>
      <c r="Q33">
        <f t="shared" si="1"/>
        <v>151.36181532657136</v>
      </c>
      <c r="R33">
        <f t="shared" si="2"/>
        <v>1.0008225675617051</v>
      </c>
      <c r="S33" t="s">
        <v>156</v>
      </c>
      <c r="T33" t="s">
        <v>162</v>
      </c>
    </row>
    <row r="34" spans="1:20" x14ac:dyDescent="0.55000000000000004">
      <c r="A34" t="s">
        <v>6</v>
      </c>
      <c r="B34">
        <v>36938</v>
      </c>
      <c r="C34">
        <v>37240</v>
      </c>
      <c r="D34" t="s">
        <v>41</v>
      </c>
      <c r="E34">
        <v>792.58203086800006</v>
      </c>
      <c r="F34" t="s">
        <v>8</v>
      </c>
      <c r="G34">
        <v>36938</v>
      </c>
      <c r="H34">
        <v>37240</v>
      </c>
      <c r="I34" s="1" t="s">
        <v>149</v>
      </c>
      <c r="J34" s="1" t="s">
        <v>153</v>
      </c>
      <c r="K34">
        <v>302</v>
      </c>
      <c r="L34" s="1" t="s">
        <v>152</v>
      </c>
      <c r="M34">
        <v>885.17517061900003</v>
      </c>
      <c r="N34">
        <v>643.484190453</v>
      </c>
      <c r="O34">
        <v>849.08673153200004</v>
      </c>
      <c r="P34">
        <f t="shared" ref="P34:P65" si="3">AVERAGE(M34:O34)</f>
        <v>792.58203086800006</v>
      </c>
      <c r="Q34">
        <f t="shared" ref="Q34:Q65" si="4">_xlfn.STDEV.P(M34:O34)</f>
        <v>106.45255084229255</v>
      </c>
      <c r="R34">
        <f t="shared" ref="R34:R65" si="5">Q34/P34</f>
        <v>0.13431108288653798</v>
      </c>
      <c r="S34" t="s">
        <v>157</v>
      </c>
      <c r="T34" t="s">
        <v>161</v>
      </c>
    </row>
    <row r="35" spans="1:20" x14ac:dyDescent="0.55000000000000004">
      <c r="A35" t="s">
        <v>6</v>
      </c>
      <c r="B35">
        <v>37375</v>
      </c>
      <c r="C35">
        <v>39579</v>
      </c>
      <c r="D35" t="s">
        <v>42</v>
      </c>
      <c r="E35">
        <v>531.38671172366674</v>
      </c>
      <c r="F35" t="s">
        <v>8</v>
      </c>
      <c r="G35">
        <v>37375</v>
      </c>
      <c r="H35">
        <v>39579</v>
      </c>
      <c r="I35" s="1" t="s">
        <v>149</v>
      </c>
      <c r="J35" s="1" t="s">
        <v>153</v>
      </c>
      <c r="K35">
        <v>2204</v>
      </c>
      <c r="L35" s="1" t="s">
        <v>152</v>
      </c>
      <c r="M35">
        <v>649.96603968900001</v>
      </c>
      <c r="N35">
        <v>471.51754137400002</v>
      </c>
      <c r="O35">
        <v>472.676554108</v>
      </c>
      <c r="P35">
        <f t="shared" si="3"/>
        <v>531.38671172366674</v>
      </c>
      <c r="Q35">
        <f t="shared" si="4"/>
        <v>83.849581963425976</v>
      </c>
      <c r="R35">
        <f t="shared" si="5"/>
        <v>0.15779390058784473</v>
      </c>
      <c r="S35" t="s">
        <v>157</v>
      </c>
      <c r="T35" t="s">
        <v>162</v>
      </c>
    </row>
    <row r="36" spans="1:20" x14ac:dyDescent="0.55000000000000004">
      <c r="A36" t="s">
        <v>6</v>
      </c>
      <c r="B36">
        <v>39605</v>
      </c>
      <c r="C36">
        <v>41857</v>
      </c>
      <c r="D36" t="s">
        <v>43</v>
      </c>
      <c r="E36">
        <v>428.40338560033337</v>
      </c>
      <c r="F36" t="s">
        <v>8</v>
      </c>
      <c r="G36">
        <v>39605</v>
      </c>
      <c r="H36">
        <v>41857</v>
      </c>
      <c r="I36" s="1" t="s">
        <v>149</v>
      </c>
      <c r="J36" s="1" t="s">
        <v>153</v>
      </c>
      <c r="K36">
        <v>2252</v>
      </c>
      <c r="L36" s="1" t="s">
        <v>152</v>
      </c>
      <c r="M36">
        <v>566.85929412600001</v>
      </c>
      <c r="N36">
        <v>382.24385013800003</v>
      </c>
      <c r="O36">
        <v>336.107012537</v>
      </c>
      <c r="P36">
        <f t="shared" si="3"/>
        <v>428.40338560033337</v>
      </c>
      <c r="Q36">
        <f t="shared" si="4"/>
        <v>99.698481767798555</v>
      </c>
      <c r="R36">
        <f t="shared" si="5"/>
        <v>0.23272104077349517</v>
      </c>
      <c r="S36" t="s">
        <v>157</v>
      </c>
      <c r="T36" t="s">
        <v>162</v>
      </c>
    </row>
    <row r="37" spans="1:20" x14ac:dyDescent="0.55000000000000004">
      <c r="A37" t="s">
        <v>6</v>
      </c>
      <c r="B37">
        <v>42584</v>
      </c>
      <c r="C37">
        <v>43751</v>
      </c>
      <c r="D37" t="s">
        <v>44</v>
      </c>
      <c r="E37">
        <v>146.35120192333332</v>
      </c>
      <c r="F37" t="s">
        <v>8</v>
      </c>
      <c r="G37">
        <v>42584</v>
      </c>
      <c r="H37">
        <v>43751</v>
      </c>
      <c r="I37" s="1" t="s">
        <v>149</v>
      </c>
      <c r="J37" s="1" t="s">
        <v>153</v>
      </c>
      <c r="K37">
        <v>1167</v>
      </c>
      <c r="L37" s="1" t="s">
        <v>152</v>
      </c>
      <c r="M37">
        <v>107.86233661999999</v>
      </c>
      <c r="N37">
        <v>156.88793544200001</v>
      </c>
      <c r="O37">
        <v>174.303333708</v>
      </c>
      <c r="P37">
        <f t="shared" si="3"/>
        <v>146.35120192333332</v>
      </c>
      <c r="Q37">
        <f t="shared" si="4"/>
        <v>28.129090380416461</v>
      </c>
      <c r="R37">
        <f t="shared" si="5"/>
        <v>0.19220266052308885</v>
      </c>
      <c r="S37" t="s">
        <v>157</v>
      </c>
      <c r="T37" t="s">
        <v>161</v>
      </c>
    </row>
    <row r="38" spans="1:20" x14ac:dyDescent="0.55000000000000004">
      <c r="A38" t="s">
        <v>6</v>
      </c>
      <c r="B38">
        <v>44827</v>
      </c>
      <c r="C38">
        <v>44913</v>
      </c>
      <c r="D38" t="s">
        <v>45</v>
      </c>
      <c r="E38">
        <v>1021.7721249583334</v>
      </c>
      <c r="F38" t="s">
        <v>15</v>
      </c>
      <c r="G38">
        <v>44827</v>
      </c>
      <c r="H38">
        <v>44913</v>
      </c>
      <c r="I38" s="1" t="s">
        <v>149</v>
      </c>
      <c r="J38" s="1" t="s">
        <v>153</v>
      </c>
      <c r="K38">
        <v>86</v>
      </c>
      <c r="L38" s="1" t="s">
        <v>152</v>
      </c>
      <c r="M38">
        <v>809.33779378099996</v>
      </c>
      <c r="N38">
        <v>415.37330142399998</v>
      </c>
      <c r="O38">
        <v>1840.6052796700001</v>
      </c>
      <c r="P38">
        <f t="shared" si="3"/>
        <v>1021.7721249583334</v>
      </c>
      <c r="Q38">
        <f t="shared" si="4"/>
        <v>600.92584498190354</v>
      </c>
      <c r="R38">
        <f t="shared" si="5"/>
        <v>0.58812119679464592</v>
      </c>
      <c r="S38" t="s">
        <v>156</v>
      </c>
      <c r="T38" t="s">
        <v>162</v>
      </c>
    </row>
    <row r="39" spans="1:20" x14ac:dyDescent="0.55000000000000004">
      <c r="A39" t="s">
        <v>6</v>
      </c>
      <c r="B39">
        <v>45223</v>
      </c>
      <c r="C39">
        <v>45828</v>
      </c>
      <c r="D39" t="s">
        <v>46</v>
      </c>
      <c r="E39">
        <v>250.22604515933335</v>
      </c>
      <c r="F39" t="s">
        <v>8</v>
      </c>
      <c r="G39">
        <v>45223</v>
      </c>
      <c r="H39">
        <v>45828</v>
      </c>
      <c r="I39" s="1" t="s">
        <v>149</v>
      </c>
      <c r="J39" s="1" t="s">
        <v>153</v>
      </c>
      <c r="K39">
        <v>605</v>
      </c>
      <c r="L39" s="1" t="s">
        <v>152</v>
      </c>
      <c r="M39">
        <v>185.63413321900001</v>
      </c>
      <c r="N39">
        <v>178.61463136699999</v>
      </c>
      <c r="O39">
        <v>386.42937089200001</v>
      </c>
      <c r="P39">
        <f t="shared" si="3"/>
        <v>250.22604515933335</v>
      </c>
      <c r="Q39">
        <f t="shared" si="4"/>
        <v>96.352920063143216</v>
      </c>
      <c r="R39">
        <f t="shared" si="5"/>
        <v>0.38506351327972177</v>
      </c>
      <c r="S39" t="s">
        <v>157</v>
      </c>
      <c r="T39" t="s">
        <v>161</v>
      </c>
    </row>
    <row r="40" spans="1:20" x14ac:dyDescent="0.55000000000000004">
      <c r="A40" t="s">
        <v>6</v>
      </c>
      <c r="B40">
        <v>46213</v>
      </c>
      <c r="C40">
        <v>46285</v>
      </c>
      <c r="D40" t="s">
        <v>47</v>
      </c>
      <c r="E40">
        <v>608.16104146266673</v>
      </c>
      <c r="F40" t="s">
        <v>8</v>
      </c>
      <c r="G40">
        <v>46213</v>
      </c>
      <c r="H40">
        <v>46285</v>
      </c>
      <c r="I40" s="1" t="s">
        <v>149</v>
      </c>
      <c r="J40" s="1" t="s">
        <v>153</v>
      </c>
      <c r="K40">
        <v>72</v>
      </c>
      <c r="L40" s="1" t="s">
        <v>152</v>
      </c>
      <c r="M40">
        <v>468.608106776</v>
      </c>
      <c r="N40">
        <v>518.25243620100002</v>
      </c>
      <c r="O40">
        <v>837.62258141100006</v>
      </c>
      <c r="P40">
        <f t="shared" si="3"/>
        <v>608.16104146266673</v>
      </c>
      <c r="Q40">
        <f t="shared" si="4"/>
        <v>163.51470595965753</v>
      </c>
      <c r="R40">
        <f t="shared" si="5"/>
        <v>0.26886744597515499</v>
      </c>
      <c r="S40" t="s">
        <v>156</v>
      </c>
      <c r="T40" t="s">
        <v>162</v>
      </c>
    </row>
    <row r="41" spans="1:20" x14ac:dyDescent="0.55000000000000004">
      <c r="A41" t="s">
        <v>6</v>
      </c>
      <c r="B41">
        <v>46894</v>
      </c>
      <c r="C41">
        <v>47490</v>
      </c>
      <c r="D41" t="s">
        <v>48</v>
      </c>
      <c r="E41">
        <v>20455.888410933334</v>
      </c>
      <c r="F41" t="s">
        <v>15</v>
      </c>
      <c r="G41">
        <v>46894</v>
      </c>
      <c r="H41">
        <v>47490</v>
      </c>
      <c r="I41" s="1" t="s">
        <v>149</v>
      </c>
      <c r="J41" s="1" t="s">
        <v>153</v>
      </c>
      <c r="K41">
        <v>596</v>
      </c>
      <c r="L41" s="1" t="s">
        <v>152</v>
      </c>
      <c r="M41">
        <v>17790.899103899999</v>
      </c>
      <c r="N41">
        <v>14759.5511267</v>
      </c>
      <c r="O41">
        <v>28817.215002199999</v>
      </c>
      <c r="P41">
        <f t="shared" si="3"/>
        <v>20455.888410933334</v>
      </c>
      <c r="Q41">
        <f t="shared" si="4"/>
        <v>6040.4803569520782</v>
      </c>
      <c r="R41">
        <f t="shared" si="5"/>
        <v>0.29529298535494264</v>
      </c>
      <c r="S41" t="s">
        <v>156</v>
      </c>
      <c r="T41" t="s">
        <v>162</v>
      </c>
    </row>
    <row r="42" spans="1:20" x14ac:dyDescent="0.55000000000000004">
      <c r="A42" t="s">
        <v>6</v>
      </c>
      <c r="B42">
        <v>48175</v>
      </c>
      <c r="C42">
        <v>48247</v>
      </c>
      <c r="D42" t="s">
        <v>49</v>
      </c>
      <c r="E42">
        <v>39.542355093899999</v>
      </c>
      <c r="F42" t="s">
        <v>15</v>
      </c>
      <c r="G42">
        <v>48175</v>
      </c>
      <c r="H42">
        <v>48247</v>
      </c>
      <c r="I42" s="1" t="s">
        <v>149</v>
      </c>
      <c r="J42" s="1" t="s">
        <v>153</v>
      </c>
      <c r="K42">
        <v>72</v>
      </c>
      <c r="L42" s="1" t="s">
        <v>152</v>
      </c>
      <c r="M42">
        <v>47.516206631099998</v>
      </c>
      <c r="N42">
        <v>44.224207889200002</v>
      </c>
      <c r="O42">
        <v>26.886650761399999</v>
      </c>
      <c r="P42">
        <f t="shared" si="3"/>
        <v>39.542355093899999</v>
      </c>
      <c r="Q42">
        <f t="shared" si="4"/>
        <v>9.0492892186039491</v>
      </c>
      <c r="R42">
        <f t="shared" si="5"/>
        <v>0.22885053753411713</v>
      </c>
      <c r="S42" t="s">
        <v>156</v>
      </c>
      <c r="T42" t="s">
        <v>162</v>
      </c>
    </row>
    <row r="43" spans="1:20" x14ac:dyDescent="0.55000000000000004">
      <c r="A43" t="s">
        <v>6</v>
      </c>
      <c r="B43">
        <v>48677</v>
      </c>
      <c r="C43">
        <v>49153</v>
      </c>
      <c r="D43" t="s">
        <v>50</v>
      </c>
      <c r="E43">
        <v>855.63872668466672</v>
      </c>
      <c r="F43" t="s">
        <v>8</v>
      </c>
      <c r="G43">
        <v>48677</v>
      </c>
      <c r="H43">
        <v>49153</v>
      </c>
      <c r="I43" s="1" t="s">
        <v>149</v>
      </c>
      <c r="J43" s="1" t="s">
        <v>153</v>
      </c>
      <c r="K43">
        <v>476</v>
      </c>
      <c r="L43" s="1" t="s">
        <v>152</v>
      </c>
      <c r="M43">
        <v>600.26558803</v>
      </c>
      <c r="N43">
        <v>561.07141059399999</v>
      </c>
      <c r="O43">
        <v>1405.5791814300001</v>
      </c>
      <c r="P43">
        <f t="shared" si="3"/>
        <v>855.63872668466672</v>
      </c>
      <c r="Q43">
        <f t="shared" si="4"/>
        <v>389.19568660709245</v>
      </c>
      <c r="R43">
        <f t="shared" si="5"/>
        <v>0.45485983098860472</v>
      </c>
      <c r="S43" t="s">
        <v>157</v>
      </c>
      <c r="T43" t="s">
        <v>162</v>
      </c>
    </row>
    <row r="44" spans="1:20" x14ac:dyDescent="0.55000000000000004">
      <c r="A44" t="s">
        <v>6</v>
      </c>
      <c r="B44">
        <v>49257</v>
      </c>
      <c r="C44">
        <v>49934</v>
      </c>
      <c r="D44" t="s">
        <v>51</v>
      </c>
      <c r="E44">
        <v>132.64361718466668</v>
      </c>
      <c r="F44" t="s">
        <v>8</v>
      </c>
      <c r="G44">
        <v>49257</v>
      </c>
      <c r="H44">
        <v>49934</v>
      </c>
      <c r="I44" s="1" t="s">
        <v>149</v>
      </c>
      <c r="J44" s="1" t="s">
        <v>153</v>
      </c>
      <c r="K44">
        <v>677</v>
      </c>
      <c r="L44" s="1" t="s">
        <v>152</v>
      </c>
      <c r="M44">
        <v>121.28213450299999</v>
      </c>
      <c r="N44">
        <v>102.003102834</v>
      </c>
      <c r="O44">
        <v>174.645614217</v>
      </c>
      <c r="P44">
        <f t="shared" si="3"/>
        <v>132.64361718466668</v>
      </c>
      <c r="Q44">
        <f t="shared" si="4"/>
        <v>30.7250829296595</v>
      </c>
      <c r="R44">
        <f t="shared" si="5"/>
        <v>0.23163634694071999</v>
      </c>
      <c r="S44" t="s">
        <v>157</v>
      </c>
      <c r="T44" t="s">
        <v>162</v>
      </c>
    </row>
    <row r="45" spans="1:20" x14ac:dyDescent="0.55000000000000004">
      <c r="A45" t="s">
        <v>6</v>
      </c>
      <c r="B45">
        <v>50001</v>
      </c>
      <c r="C45">
        <v>50363</v>
      </c>
      <c r="D45" t="s">
        <v>52</v>
      </c>
      <c r="E45">
        <v>145.44217737720001</v>
      </c>
      <c r="F45" t="s">
        <v>8</v>
      </c>
      <c r="G45">
        <v>50001</v>
      </c>
      <c r="H45">
        <v>50363</v>
      </c>
      <c r="I45" s="1" t="s">
        <v>149</v>
      </c>
      <c r="J45" s="1" t="s">
        <v>153</v>
      </c>
      <c r="K45">
        <v>362</v>
      </c>
      <c r="L45" s="1" t="s">
        <v>152</v>
      </c>
      <c r="M45">
        <v>139.80573351300001</v>
      </c>
      <c r="N45">
        <v>89.608995819599997</v>
      </c>
      <c r="O45">
        <v>206.91180279899999</v>
      </c>
      <c r="P45">
        <f t="shared" si="3"/>
        <v>145.44217737720001</v>
      </c>
      <c r="Q45">
        <f t="shared" si="4"/>
        <v>48.054235025904482</v>
      </c>
      <c r="R45">
        <f t="shared" si="5"/>
        <v>0.33040095997241048</v>
      </c>
      <c r="S45" t="s">
        <v>157</v>
      </c>
      <c r="T45" t="s">
        <v>162</v>
      </c>
    </row>
    <row r="46" spans="1:20" x14ac:dyDescent="0.55000000000000004">
      <c r="A46" t="s">
        <v>6</v>
      </c>
      <c r="B46">
        <v>51199</v>
      </c>
      <c r="C46">
        <v>51871</v>
      </c>
      <c r="D46" t="s">
        <v>53</v>
      </c>
      <c r="E46">
        <v>4427.3092719599999</v>
      </c>
      <c r="F46" t="s">
        <v>8</v>
      </c>
      <c r="G46">
        <v>51199</v>
      </c>
      <c r="H46">
        <v>51871</v>
      </c>
      <c r="I46" s="1" t="s">
        <v>149</v>
      </c>
      <c r="J46" s="1" t="s">
        <v>153</v>
      </c>
      <c r="K46">
        <v>672</v>
      </c>
      <c r="L46" s="1" t="s">
        <v>152</v>
      </c>
      <c r="M46">
        <v>2916.2779232399998</v>
      </c>
      <c r="N46">
        <v>4060.87801795</v>
      </c>
      <c r="O46">
        <v>6304.77187469</v>
      </c>
      <c r="P46">
        <f t="shared" si="3"/>
        <v>4427.3092719599999</v>
      </c>
      <c r="Q46">
        <f t="shared" si="4"/>
        <v>1407.4034514404666</v>
      </c>
      <c r="R46">
        <f t="shared" si="5"/>
        <v>0.31789137938795936</v>
      </c>
      <c r="S46" t="s">
        <v>156</v>
      </c>
      <c r="T46" t="s">
        <v>162</v>
      </c>
    </row>
    <row r="47" spans="1:20" x14ac:dyDescent="0.55000000000000004">
      <c r="A47" t="s">
        <v>6</v>
      </c>
      <c r="B47">
        <v>52056</v>
      </c>
      <c r="C47">
        <v>52128</v>
      </c>
      <c r="D47" t="s">
        <v>54</v>
      </c>
      <c r="E47">
        <v>147.69780800613333</v>
      </c>
      <c r="F47" t="s">
        <v>15</v>
      </c>
      <c r="G47">
        <v>52056</v>
      </c>
      <c r="H47">
        <v>52128</v>
      </c>
      <c r="I47" s="1" t="s">
        <v>149</v>
      </c>
      <c r="J47" s="1" t="s">
        <v>153</v>
      </c>
      <c r="K47">
        <v>72</v>
      </c>
      <c r="L47" s="1" t="s">
        <v>152</v>
      </c>
      <c r="M47">
        <v>224.47311408499999</v>
      </c>
      <c r="N47">
        <v>34.550162413400002</v>
      </c>
      <c r="O47">
        <v>184.07014752000001</v>
      </c>
      <c r="P47">
        <f t="shared" si="3"/>
        <v>147.69780800613333</v>
      </c>
      <c r="Q47">
        <f t="shared" si="4"/>
        <v>81.69003286487775</v>
      </c>
      <c r="R47">
        <f t="shared" si="5"/>
        <v>0.55308899954348323</v>
      </c>
      <c r="S47" t="s">
        <v>156</v>
      </c>
      <c r="T47" t="s">
        <v>162</v>
      </c>
    </row>
    <row r="48" spans="1:20" x14ac:dyDescent="0.55000000000000004">
      <c r="A48" t="s">
        <v>6</v>
      </c>
      <c r="B48">
        <v>52265</v>
      </c>
      <c r="C48">
        <v>52663</v>
      </c>
      <c r="D48" t="s">
        <v>55</v>
      </c>
      <c r="E48">
        <v>975.73191791666659</v>
      </c>
      <c r="F48" t="s">
        <v>8</v>
      </c>
      <c r="G48">
        <v>52265</v>
      </c>
      <c r="H48">
        <v>52663</v>
      </c>
      <c r="I48" s="1" t="s">
        <v>149</v>
      </c>
      <c r="J48" s="1" t="s">
        <v>153</v>
      </c>
      <c r="K48">
        <v>398</v>
      </c>
      <c r="L48" s="1" t="s">
        <v>152</v>
      </c>
      <c r="M48">
        <v>714.64506511100001</v>
      </c>
      <c r="N48">
        <v>954.29284774899998</v>
      </c>
      <c r="O48">
        <v>1258.2578408899999</v>
      </c>
      <c r="P48">
        <f t="shared" si="3"/>
        <v>975.73191791666659</v>
      </c>
      <c r="Q48">
        <f t="shared" si="4"/>
        <v>222.44615497505291</v>
      </c>
      <c r="R48">
        <f t="shared" si="5"/>
        <v>0.22797876229160227</v>
      </c>
      <c r="S48" t="s">
        <v>157</v>
      </c>
      <c r="T48" t="s">
        <v>162</v>
      </c>
    </row>
    <row r="49" spans="1:20" x14ac:dyDescent="0.55000000000000004">
      <c r="A49" t="s">
        <v>6</v>
      </c>
      <c r="B49">
        <v>52660</v>
      </c>
      <c r="C49">
        <v>54156</v>
      </c>
      <c r="D49" t="s">
        <v>56</v>
      </c>
      <c r="E49">
        <v>582.10304742333335</v>
      </c>
      <c r="F49" t="s">
        <v>8</v>
      </c>
      <c r="G49">
        <v>52660</v>
      </c>
      <c r="H49">
        <v>54156</v>
      </c>
      <c r="I49" s="1" t="s">
        <v>149</v>
      </c>
      <c r="J49" s="1" t="s">
        <v>153</v>
      </c>
      <c r="K49">
        <v>1496</v>
      </c>
      <c r="L49" s="1" t="s">
        <v>152</v>
      </c>
      <c r="M49">
        <v>423.46639618</v>
      </c>
      <c r="N49">
        <v>443.51322925199997</v>
      </c>
      <c r="O49">
        <v>879.32951683800002</v>
      </c>
      <c r="P49">
        <f t="shared" si="3"/>
        <v>582.10304742333335</v>
      </c>
      <c r="Q49">
        <f t="shared" si="4"/>
        <v>210.33013648323609</v>
      </c>
      <c r="R49">
        <f t="shared" si="5"/>
        <v>0.36132801127610981</v>
      </c>
      <c r="S49" t="s">
        <v>157</v>
      </c>
      <c r="T49" t="s">
        <v>162</v>
      </c>
    </row>
    <row r="50" spans="1:20" x14ac:dyDescent="0.55000000000000004">
      <c r="A50" t="s">
        <v>6</v>
      </c>
      <c r="B50">
        <v>54958</v>
      </c>
      <c r="C50">
        <v>56397</v>
      </c>
      <c r="D50" t="s">
        <v>57</v>
      </c>
      <c r="E50">
        <v>8067.9460149766664</v>
      </c>
      <c r="F50" t="s">
        <v>15</v>
      </c>
      <c r="G50">
        <v>54958</v>
      </c>
      <c r="H50">
        <v>56397</v>
      </c>
      <c r="I50" s="1" t="s">
        <v>149</v>
      </c>
      <c r="J50" s="1" t="s">
        <v>153</v>
      </c>
      <c r="K50">
        <v>1439</v>
      </c>
      <c r="L50" s="1" t="s">
        <v>152</v>
      </c>
      <c r="M50">
        <v>5534.7300143700004</v>
      </c>
      <c r="N50">
        <v>10480.6762808</v>
      </c>
      <c r="O50">
        <v>8188.4317497599995</v>
      </c>
      <c r="P50">
        <f t="shared" si="3"/>
        <v>8067.9460149766664</v>
      </c>
      <c r="Q50">
        <f t="shared" si="4"/>
        <v>2020.9706787940502</v>
      </c>
      <c r="R50">
        <f t="shared" si="5"/>
        <v>0.25049382767838152</v>
      </c>
      <c r="S50" t="s">
        <v>157</v>
      </c>
      <c r="T50" t="s">
        <v>162</v>
      </c>
    </row>
    <row r="51" spans="1:20" x14ac:dyDescent="0.55000000000000004">
      <c r="A51" t="s">
        <v>6</v>
      </c>
      <c r="B51">
        <v>57075</v>
      </c>
      <c r="C51">
        <v>58541</v>
      </c>
      <c r="D51" t="s">
        <v>58</v>
      </c>
      <c r="E51">
        <v>115.06893764146666</v>
      </c>
      <c r="F51" t="s">
        <v>15</v>
      </c>
      <c r="G51">
        <v>57075</v>
      </c>
      <c r="H51">
        <v>58541</v>
      </c>
      <c r="I51" s="1" t="s">
        <v>149</v>
      </c>
      <c r="J51" s="1" t="s">
        <v>153</v>
      </c>
      <c r="K51">
        <v>1466</v>
      </c>
      <c r="L51" s="1" t="s">
        <v>152</v>
      </c>
      <c r="M51">
        <v>122.880035326</v>
      </c>
      <c r="N51">
        <v>92.106113736400005</v>
      </c>
      <c r="O51">
        <v>130.22066386200001</v>
      </c>
      <c r="P51">
        <f t="shared" si="3"/>
        <v>115.06893764146666</v>
      </c>
      <c r="Q51">
        <f t="shared" si="4"/>
        <v>16.511403495709931</v>
      </c>
      <c r="R51">
        <f t="shared" si="5"/>
        <v>0.14349140466696916</v>
      </c>
      <c r="S51" t="s">
        <v>157</v>
      </c>
      <c r="T51" t="s">
        <v>159</v>
      </c>
    </row>
    <row r="52" spans="1:20" x14ac:dyDescent="0.55000000000000004">
      <c r="A52" t="s">
        <v>6</v>
      </c>
      <c r="B52">
        <v>59247</v>
      </c>
      <c r="C52">
        <v>59360</v>
      </c>
      <c r="D52" t="s">
        <v>59</v>
      </c>
      <c r="E52">
        <v>262.901645992</v>
      </c>
      <c r="F52" t="s">
        <v>15</v>
      </c>
      <c r="G52">
        <v>59247</v>
      </c>
      <c r="H52">
        <v>59360</v>
      </c>
      <c r="I52" s="1" t="s">
        <v>149</v>
      </c>
      <c r="J52" s="1" t="s">
        <v>153</v>
      </c>
      <c r="K52">
        <v>113</v>
      </c>
      <c r="L52" s="1" t="s">
        <v>152</v>
      </c>
      <c r="M52">
        <v>203.578743089</v>
      </c>
      <c r="N52">
        <v>390.092736403</v>
      </c>
      <c r="O52">
        <v>195.03345848399999</v>
      </c>
      <c r="P52">
        <f t="shared" si="3"/>
        <v>262.901645992</v>
      </c>
      <c r="Q52">
        <f t="shared" si="4"/>
        <v>90.005316814061914</v>
      </c>
      <c r="R52">
        <f t="shared" si="5"/>
        <v>0.34235356904840658</v>
      </c>
      <c r="S52" t="s">
        <v>157</v>
      </c>
      <c r="T52" t="s">
        <v>162</v>
      </c>
    </row>
    <row r="53" spans="1:20" x14ac:dyDescent="0.55000000000000004">
      <c r="A53" t="s">
        <v>6</v>
      </c>
      <c r="B53">
        <v>59772</v>
      </c>
      <c r="C53">
        <v>60326</v>
      </c>
      <c r="D53" t="s">
        <v>60</v>
      </c>
      <c r="E53">
        <v>180.39404793999998</v>
      </c>
      <c r="F53" t="s">
        <v>15</v>
      </c>
      <c r="G53">
        <v>59772</v>
      </c>
      <c r="H53">
        <v>60326</v>
      </c>
      <c r="I53" s="1" t="s">
        <v>149</v>
      </c>
      <c r="J53" s="1" t="s">
        <v>153</v>
      </c>
      <c r="K53">
        <v>554</v>
      </c>
      <c r="L53" s="1" t="s">
        <v>152</v>
      </c>
      <c r="M53">
        <v>207.62092029799999</v>
      </c>
      <c r="N53">
        <v>150.513978294</v>
      </c>
      <c r="O53">
        <v>183.04724522800001</v>
      </c>
      <c r="P53">
        <f t="shared" si="3"/>
        <v>180.39404793999998</v>
      </c>
      <c r="Q53">
        <f t="shared" si="4"/>
        <v>23.389175532695351</v>
      </c>
      <c r="R53">
        <f t="shared" si="5"/>
        <v>0.12965602690214434</v>
      </c>
      <c r="S53" t="s">
        <v>157</v>
      </c>
      <c r="T53" t="s">
        <v>162</v>
      </c>
    </row>
    <row r="54" spans="1:20" x14ac:dyDescent="0.55000000000000004">
      <c r="A54" t="s">
        <v>6</v>
      </c>
      <c r="B54">
        <v>60741</v>
      </c>
      <c r="C54">
        <v>61430</v>
      </c>
      <c r="D54" t="s">
        <v>61</v>
      </c>
      <c r="E54">
        <v>279.52039470933329</v>
      </c>
      <c r="F54" t="s">
        <v>15</v>
      </c>
      <c r="G54">
        <v>60741</v>
      </c>
      <c r="H54">
        <v>61430</v>
      </c>
      <c r="I54" s="1" t="s">
        <v>149</v>
      </c>
      <c r="J54" s="1" t="s">
        <v>153</v>
      </c>
      <c r="K54">
        <v>689</v>
      </c>
      <c r="L54" s="1" t="s">
        <v>152</v>
      </c>
      <c r="M54">
        <v>179.953275021</v>
      </c>
      <c r="N54">
        <v>248.83337871399999</v>
      </c>
      <c r="O54">
        <v>409.77453039300002</v>
      </c>
      <c r="P54">
        <f t="shared" si="3"/>
        <v>279.52039470933329</v>
      </c>
      <c r="Q54">
        <f t="shared" si="4"/>
        <v>96.300647516735822</v>
      </c>
      <c r="R54">
        <f t="shared" si="5"/>
        <v>0.34452100576373546</v>
      </c>
      <c r="S54" t="s">
        <v>157</v>
      </c>
      <c r="T54" t="s">
        <v>162</v>
      </c>
    </row>
    <row r="55" spans="1:20" x14ac:dyDescent="0.55000000000000004">
      <c r="A55" t="s">
        <v>6</v>
      </c>
      <c r="B55">
        <v>61657</v>
      </c>
      <c r="C55">
        <v>62619</v>
      </c>
      <c r="D55" t="s">
        <v>62</v>
      </c>
      <c r="E55">
        <v>784.8227068363334</v>
      </c>
      <c r="F55" t="s">
        <v>15</v>
      </c>
      <c r="G55">
        <v>61657</v>
      </c>
      <c r="H55">
        <v>62619</v>
      </c>
      <c r="I55" s="1" t="s">
        <v>149</v>
      </c>
      <c r="J55" s="1" t="s">
        <v>153</v>
      </c>
      <c r="K55">
        <v>962</v>
      </c>
      <c r="L55" s="1" t="s">
        <v>152</v>
      </c>
      <c r="M55">
        <v>569.62220036300005</v>
      </c>
      <c r="N55">
        <v>437.21973511599998</v>
      </c>
      <c r="O55">
        <v>1347.62618503</v>
      </c>
      <c r="P55">
        <f t="shared" si="3"/>
        <v>784.8227068363334</v>
      </c>
      <c r="Q55">
        <f t="shared" si="4"/>
        <v>401.61625091708089</v>
      </c>
      <c r="R55">
        <f t="shared" si="5"/>
        <v>0.51172863300046412</v>
      </c>
      <c r="S55" t="s">
        <v>157</v>
      </c>
      <c r="T55" t="s">
        <v>162</v>
      </c>
    </row>
    <row r="56" spans="1:20" x14ac:dyDescent="0.55000000000000004">
      <c r="A56" t="s">
        <v>6</v>
      </c>
      <c r="B56">
        <v>63538</v>
      </c>
      <c r="C56">
        <v>63660</v>
      </c>
      <c r="D56" t="s">
        <v>63</v>
      </c>
      <c r="E56">
        <v>461.21784782633335</v>
      </c>
      <c r="F56" t="s">
        <v>8</v>
      </c>
      <c r="G56">
        <v>63538</v>
      </c>
      <c r="H56">
        <v>63660</v>
      </c>
      <c r="I56" s="1" t="s">
        <v>149</v>
      </c>
      <c r="J56" s="1" t="s">
        <v>153</v>
      </c>
      <c r="K56">
        <v>122</v>
      </c>
      <c r="L56" s="1" t="s">
        <v>152</v>
      </c>
      <c r="M56">
        <v>447.71064563499999</v>
      </c>
      <c r="N56">
        <v>597.84241689500004</v>
      </c>
      <c r="O56">
        <v>338.10048094899997</v>
      </c>
      <c r="P56">
        <f t="shared" si="3"/>
        <v>461.21784782633335</v>
      </c>
      <c r="Q56">
        <f t="shared" si="4"/>
        <v>106.46846702356585</v>
      </c>
      <c r="R56">
        <f t="shared" si="5"/>
        <v>0.23084203598221423</v>
      </c>
      <c r="S56" t="s">
        <v>157</v>
      </c>
      <c r="T56" t="s">
        <v>162</v>
      </c>
    </row>
    <row r="57" spans="1:20" x14ac:dyDescent="0.55000000000000004">
      <c r="A57" t="s">
        <v>6</v>
      </c>
      <c r="B57">
        <v>63804</v>
      </c>
      <c r="C57">
        <v>63920</v>
      </c>
      <c r="D57" t="s">
        <v>64</v>
      </c>
      <c r="E57">
        <v>5380.4380960233329</v>
      </c>
      <c r="F57" t="s">
        <v>8</v>
      </c>
      <c r="G57">
        <v>63804</v>
      </c>
      <c r="H57">
        <v>63920</v>
      </c>
      <c r="I57" s="1" t="s">
        <v>149</v>
      </c>
      <c r="J57" s="1" t="s">
        <v>153</v>
      </c>
      <c r="K57">
        <v>116</v>
      </c>
      <c r="L57" s="1" t="s">
        <v>152</v>
      </c>
      <c r="M57">
        <v>2738.7640906500001</v>
      </c>
      <c r="N57">
        <v>7452.5415156700001</v>
      </c>
      <c r="O57">
        <v>5950.0086817499996</v>
      </c>
      <c r="P57">
        <f t="shared" si="3"/>
        <v>5380.4380960233329</v>
      </c>
      <c r="Q57">
        <f t="shared" si="4"/>
        <v>1966.0845000916247</v>
      </c>
      <c r="R57">
        <f t="shared" si="5"/>
        <v>0.36541345983420054</v>
      </c>
      <c r="S57" t="s">
        <v>157</v>
      </c>
      <c r="T57" t="s">
        <v>162</v>
      </c>
    </row>
    <row r="58" spans="1:20" x14ac:dyDescent="0.55000000000000004">
      <c r="A58" t="s">
        <v>6</v>
      </c>
      <c r="B58">
        <v>63942</v>
      </c>
      <c r="C58">
        <v>64061</v>
      </c>
      <c r="D58" t="s">
        <v>65</v>
      </c>
      <c r="E58">
        <v>3758.5367554066665</v>
      </c>
      <c r="F58" t="s">
        <v>8</v>
      </c>
      <c r="G58">
        <v>63942</v>
      </c>
      <c r="H58">
        <v>64061</v>
      </c>
      <c r="I58" s="1" t="s">
        <v>149</v>
      </c>
      <c r="J58" s="1" t="s">
        <v>153</v>
      </c>
      <c r="K58">
        <v>119</v>
      </c>
      <c r="L58" s="1" t="s">
        <v>152</v>
      </c>
      <c r="M58">
        <v>1589.1424238</v>
      </c>
      <c r="N58">
        <v>6016.2575249199999</v>
      </c>
      <c r="O58">
        <v>3670.2103175000002</v>
      </c>
      <c r="P58">
        <f t="shared" si="3"/>
        <v>3758.5367554066665</v>
      </c>
      <c r="Q58">
        <f t="shared" si="4"/>
        <v>1808.4409859261186</v>
      </c>
      <c r="R58">
        <f t="shared" si="5"/>
        <v>0.48115559421486853</v>
      </c>
      <c r="S58" t="s">
        <v>157</v>
      </c>
      <c r="T58" t="s">
        <v>162</v>
      </c>
    </row>
    <row r="59" spans="1:20" x14ac:dyDescent="0.55000000000000004">
      <c r="A59" t="s">
        <v>6</v>
      </c>
      <c r="B59">
        <v>64071</v>
      </c>
      <c r="C59">
        <v>64322</v>
      </c>
      <c r="D59" t="s">
        <v>66</v>
      </c>
      <c r="E59">
        <v>4880.5089400733332</v>
      </c>
      <c r="F59" t="s">
        <v>8</v>
      </c>
      <c r="G59">
        <v>64071</v>
      </c>
      <c r="H59">
        <v>64322</v>
      </c>
      <c r="I59" s="1" t="s">
        <v>149</v>
      </c>
      <c r="J59" s="1" t="s">
        <v>153</v>
      </c>
      <c r="K59">
        <v>251</v>
      </c>
      <c r="L59" s="1" t="s">
        <v>152</v>
      </c>
      <c r="M59">
        <v>2163.90332515</v>
      </c>
      <c r="N59">
        <v>8605.3525157900003</v>
      </c>
      <c r="O59">
        <v>3872.2709792800001</v>
      </c>
      <c r="P59">
        <f t="shared" si="3"/>
        <v>4880.5089400733332</v>
      </c>
      <c r="Q59">
        <f t="shared" si="4"/>
        <v>2724.6375609840534</v>
      </c>
      <c r="R59">
        <f t="shared" si="5"/>
        <v>0.5582691466073032</v>
      </c>
      <c r="S59" t="s">
        <v>157</v>
      </c>
      <c r="T59" t="s">
        <v>162</v>
      </c>
    </row>
    <row r="60" spans="1:20" x14ac:dyDescent="0.55000000000000004">
      <c r="A60" t="s">
        <v>6</v>
      </c>
      <c r="B60">
        <v>65712</v>
      </c>
      <c r="C60">
        <v>65807</v>
      </c>
      <c r="D60" t="s">
        <v>67</v>
      </c>
      <c r="E60">
        <v>84.004980477633339</v>
      </c>
      <c r="F60" t="s">
        <v>15</v>
      </c>
      <c r="G60">
        <v>65712</v>
      </c>
      <c r="H60">
        <v>65807</v>
      </c>
      <c r="I60" s="1" t="s">
        <v>149</v>
      </c>
      <c r="J60" s="1" t="s">
        <v>153</v>
      </c>
      <c r="K60">
        <v>95</v>
      </c>
      <c r="L60" s="1" t="s">
        <v>152</v>
      </c>
      <c r="M60">
        <v>68.299157262899996</v>
      </c>
      <c r="N60">
        <v>138.25883940099999</v>
      </c>
      <c r="O60">
        <v>45.456944769000003</v>
      </c>
      <c r="P60">
        <f t="shared" si="3"/>
        <v>84.004980477633339</v>
      </c>
      <c r="Q60">
        <f t="shared" si="4"/>
        <v>39.480396603559647</v>
      </c>
      <c r="R60">
        <f t="shared" si="5"/>
        <v>0.46997685588500865</v>
      </c>
      <c r="S60" t="s">
        <v>157</v>
      </c>
      <c r="T60" t="s">
        <v>159</v>
      </c>
    </row>
    <row r="61" spans="1:20" x14ac:dyDescent="0.55000000000000004">
      <c r="A61" t="s">
        <v>6</v>
      </c>
      <c r="B61">
        <v>65998</v>
      </c>
      <c r="C61">
        <v>66111</v>
      </c>
      <c r="D61" t="s">
        <v>68</v>
      </c>
      <c r="E61">
        <v>394.33471821099994</v>
      </c>
      <c r="F61" t="s">
        <v>15</v>
      </c>
      <c r="G61">
        <v>65998</v>
      </c>
      <c r="H61">
        <v>66111</v>
      </c>
      <c r="I61" s="1" t="s">
        <v>149</v>
      </c>
      <c r="J61" s="1" t="s">
        <v>153</v>
      </c>
      <c r="K61">
        <v>113</v>
      </c>
      <c r="L61" s="1" t="s">
        <v>152</v>
      </c>
      <c r="M61">
        <v>341.38589225599998</v>
      </c>
      <c r="N61">
        <v>184.039236813</v>
      </c>
      <c r="O61">
        <v>657.57902556399995</v>
      </c>
      <c r="P61">
        <f t="shared" si="3"/>
        <v>394.33471821099994</v>
      </c>
      <c r="Q61">
        <f t="shared" si="4"/>
        <v>196.91396854141672</v>
      </c>
      <c r="R61">
        <f t="shared" si="5"/>
        <v>0.49935742263518462</v>
      </c>
      <c r="S61" t="s">
        <v>157</v>
      </c>
      <c r="T61" t="s">
        <v>162</v>
      </c>
    </row>
    <row r="62" spans="1:20" x14ac:dyDescent="0.55000000000000004">
      <c r="A62" t="s">
        <v>6</v>
      </c>
      <c r="B62">
        <v>66229</v>
      </c>
      <c r="C62">
        <v>66302</v>
      </c>
      <c r="D62" t="s">
        <v>69</v>
      </c>
      <c r="E62">
        <v>111.25473840956666</v>
      </c>
      <c r="F62" t="s">
        <v>8</v>
      </c>
      <c r="G62">
        <v>66229</v>
      </c>
      <c r="H62">
        <v>66302</v>
      </c>
      <c r="I62" s="1" t="s">
        <v>149</v>
      </c>
      <c r="J62" s="1" t="s">
        <v>153</v>
      </c>
      <c r="K62">
        <v>73</v>
      </c>
      <c r="L62" s="1" t="s">
        <v>152</v>
      </c>
      <c r="M62">
        <v>122.819406087</v>
      </c>
      <c r="N62">
        <v>68.153745034699995</v>
      </c>
      <c r="O62">
        <v>142.79106410700001</v>
      </c>
      <c r="P62">
        <f t="shared" si="3"/>
        <v>111.25473840956666</v>
      </c>
      <c r="Q62">
        <f t="shared" si="4"/>
        <v>31.548782368919692</v>
      </c>
      <c r="R62">
        <f t="shared" si="5"/>
        <v>0.28357248257398132</v>
      </c>
      <c r="S62" t="s">
        <v>156</v>
      </c>
      <c r="T62" t="s">
        <v>162</v>
      </c>
    </row>
    <row r="63" spans="1:20" x14ac:dyDescent="0.55000000000000004">
      <c r="A63" t="s">
        <v>6</v>
      </c>
      <c r="B63">
        <v>66490</v>
      </c>
      <c r="C63">
        <v>66563</v>
      </c>
      <c r="D63" t="s">
        <v>70</v>
      </c>
      <c r="E63">
        <v>566.95977298500009</v>
      </c>
      <c r="F63" t="s">
        <v>8</v>
      </c>
      <c r="G63">
        <v>66490</v>
      </c>
      <c r="H63">
        <v>66563</v>
      </c>
      <c r="I63" s="1" t="s">
        <v>149</v>
      </c>
      <c r="J63" s="1" t="s">
        <v>153</v>
      </c>
      <c r="K63">
        <v>73</v>
      </c>
      <c r="L63" s="1" t="s">
        <v>152</v>
      </c>
      <c r="M63">
        <v>400.77911459900002</v>
      </c>
      <c r="N63">
        <v>302.60262795400001</v>
      </c>
      <c r="O63">
        <v>997.49757640200005</v>
      </c>
      <c r="P63">
        <f t="shared" si="3"/>
        <v>566.95977298500009</v>
      </c>
      <c r="Q63">
        <f t="shared" si="4"/>
        <v>307.06324621141761</v>
      </c>
      <c r="R63">
        <f t="shared" si="5"/>
        <v>0.54159617814638417</v>
      </c>
      <c r="S63" t="s">
        <v>156</v>
      </c>
      <c r="T63" t="s">
        <v>162</v>
      </c>
    </row>
    <row r="64" spans="1:20" x14ac:dyDescent="0.55000000000000004">
      <c r="A64" t="s">
        <v>6</v>
      </c>
      <c r="B64">
        <v>66929</v>
      </c>
      <c r="C64">
        <v>67063</v>
      </c>
      <c r="D64" t="s">
        <v>71</v>
      </c>
      <c r="E64">
        <v>113706.13801316667</v>
      </c>
      <c r="F64" t="s">
        <v>15</v>
      </c>
      <c r="G64">
        <v>66929</v>
      </c>
      <c r="H64">
        <v>67063</v>
      </c>
      <c r="I64" s="1" t="s">
        <v>149</v>
      </c>
      <c r="J64" s="1" t="s">
        <v>153</v>
      </c>
      <c r="K64">
        <v>134</v>
      </c>
      <c r="L64" s="1" t="s">
        <v>152</v>
      </c>
      <c r="M64">
        <v>270649.86746400001</v>
      </c>
      <c r="N64">
        <v>22886.0275826</v>
      </c>
      <c r="O64">
        <v>47582.518992899997</v>
      </c>
      <c r="P64">
        <f t="shared" si="3"/>
        <v>113706.13801316667</v>
      </c>
      <c r="Q64">
        <f t="shared" si="4"/>
        <v>111433.02871365394</v>
      </c>
      <c r="R64">
        <f t="shared" si="5"/>
        <v>0.98000891298190507</v>
      </c>
      <c r="S64" t="s">
        <v>157</v>
      </c>
      <c r="T64" t="s">
        <v>162</v>
      </c>
    </row>
    <row r="65" spans="1:20" x14ac:dyDescent="0.55000000000000004">
      <c r="A65" t="s">
        <v>6</v>
      </c>
      <c r="B65">
        <v>67488</v>
      </c>
      <c r="C65">
        <v>67688</v>
      </c>
      <c r="D65" t="s">
        <v>72</v>
      </c>
      <c r="E65">
        <v>1443.0405609096667</v>
      </c>
      <c r="F65" t="s">
        <v>15</v>
      </c>
      <c r="G65">
        <v>67488</v>
      </c>
      <c r="H65">
        <v>67688</v>
      </c>
      <c r="I65" s="1" t="s">
        <v>149</v>
      </c>
      <c r="J65" s="1" t="s">
        <v>153</v>
      </c>
      <c r="K65">
        <v>200</v>
      </c>
      <c r="L65" s="1" t="s">
        <v>152</v>
      </c>
      <c r="M65">
        <v>1666.93406822</v>
      </c>
      <c r="N65">
        <v>925.88907241899994</v>
      </c>
      <c r="O65">
        <v>1736.29854209</v>
      </c>
      <c r="P65">
        <f t="shared" si="3"/>
        <v>1443.0405609096667</v>
      </c>
      <c r="Q65">
        <f t="shared" si="4"/>
        <v>366.77613889573951</v>
      </c>
      <c r="R65">
        <f t="shared" si="5"/>
        <v>0.25416897406163724</v>
      </c>
      <c r="S65" t="s">
        <v>157</v>
      </c>
      <c r="T65" t="s">
        <v>162</v>
      </c>
    </row>
    <row r="66" spans="1:20" x14ac:dyDescent="0.55000000000000004">
      <c r="A66" t="s">
        <v>6</v>
      </c>
      <c r="B66">
        <v>67917</v>
      </c>
      <c r="C66">
        <v>68222</v>
      </c>
      <c r="D66" t="s">
        <v>73</v>
      </c>
      <c r="E66">
        <v>457.80500407699998</v>
      </c>
      <c r="F66" t="s">
        <v>15</v>
      </c>
      <c r="G66">
        <v>67917</v>
      </c>
      <c r="H66">
        <v>68222</v>
      </c>
      <c r="I66" s="1" t="s">
        <v>149</v>
      </c>
      <c r="J66" s="1" t="s">
        <v>153</v>
      </c>
      <c r="K66">
        <v>305</v>
      </c>
      <c r="L66" s="1" t="s">
        <v>152</v>
      </c>
      <c r="M66">
        <v>335.73463534400003</v>
      </c>
      <c r="N66">
        <v>291.662275964</v>
      </c>
      <c r="O66">
        <v>746.01810092300002</v>
      </c>
      <c r="P66">
        <f t="shared" ref="P66:P97" si="6">AVERAGE(M66:O66)</f>
        <v>457.80500407699998</v>
      </c>
      <c r="Q66">
        <f t="shared" ref="Q66:Q97" si="7">_xlfn.STDEV.P(M66:O66)</f>
        <v>204.59013516541032</v>
      </c>
      <c r="R66">
        <f t="shared" ref="R66:R97" si="8">Q66/P66</f>
        <v>0.44689361921216464</v>
      </c>
      <c r="S66" t="s">
        <v>157</v>
      </c>
      <c r="T66" t="s">
        <v>162</v>
      </c>
    </row>
    <row r="67" spans="1:20" x14ac:dyDescent="0.55000000000000004">
      <c r="A67" t="s">
        <v>6</v>
      </c>
      <c r="B67">
        <v>68512</v>
      </c>
      <c r="C67">
        <v>68865</v>
      </c>
      <c r="D67" t="s">
        <v>74</v>
      </c>
      <c r="E67">
        <v>225.03292841533334</v>
      </c>
      <c r="F67" t="s">
        <v>8</v>
      </c>
      <c r="G67">
        <v>68512</v>
      </c>
      <c r="H67">
        <v>68865</v>
      </c>
      <c r="I67" s="1" t="s">
        <v>149</v>
      </c>
      <c r="J67" s="1" t="s">
        <v>153</v>
      </c>
      <c r="K67">
        <v>353</v>
      </c>
      <c r="L67" s="1" t="s">
        <v>152</v>
      </c>
      <c r="M67">
        <v>317.820621319</v>
      </c>
      <c r="N67">
        <v>111.34352623700001</v>
      </c>
      <c r="O67">
        <v>245.93463768999999</v>
      </c>
      <c r="P67">
        <f t="shared" si="6"/>
        <v>225.03292841533334</v>
      </c>
      <c r="Q67">
        <f t="shared" si="7"/>
        <v>85.579821555969289</v>
      </c>
      <c r="R67">
        <f t="shared" si="8"/>
        <v>0.3802991062624328</v>
      </c>
      <c r="S67" t="s">
        <v>157</v>
      </c>
      <c r="T67" t="s">
        <v>162</v>
      </c>
    </row>
    <row r="68" spans="1:20" x14ac:dyDescent="0.55000000000000004">
      <c r="A68" t="s">
        <v>6</v>
      </c>
      <c r="B68">
        <v>69611</v>
      </c>
      <c r="C68">
        <v>69724</v>
      </c>
      <c r="D68" t="s">
        <v>75</v>
      </c>
      <c r="E68">
        <v>99.642600896499985</v>
      </c>
      <c r="F68" t="s">
        <v>8</v>
      </c>
      <c r="G68">
        <v>69611</v>
      </c>
      <c r="H68">
        <v>69724</v>
      </c>
      <c r="I68" s="1" t="s">
        <v>149</v>
      </c>
      <c r="J68" s="1" t="s">
        <v>153</v>
      </c>
      <c r="K68">
        <v>113</v>
      </c>
      <c r="L68" s="1" t="s">
        <v>152</v>
      </c>
      <c r="M68">
        <v>110.663316756</v>
      </c>
      <c r="N68">
        <v>111.832454906</v>
      </c>
      <c r="O68">
        <v>76.432031027500003</v>
      </c>
      <c r="P68">
        <f t="shared" si="6"/>
        <v>99.642600896499985</v>
      </c>
      <c r="Q68">
        <f t="shared" si="7"/>
        <v>16.419290204639285</v>
      </c>
      <c r="R68">
        <f t="shared" si="8"/>
        <v>0.16478183083251918</v>
      </c>
      <c r="S68" t="s">
        <v>157</v>
      </c>
      <c r="T68" t="s">
        <v>161</v>
      </c>
    </row>
    <row r="69" spans="1:20" x14ac:dyDescent="0.55000000000000004">
      <c r="A69" t="s">
        <v>6</v>
      </c>
      <c r="B69">
        <v>69910</v>
      </c>
      <c r="C69">
        <v>71882</v>
      </c>
      <c r="D69" t="s">
        <v>76</v>
      </c>
      <c r="E69">
        <v>890.41854424300016</v>
      </c>
      <c r="F69" t="s">
        <v>8</v>
      </c>
      <c r="G69">
        <v>69910</v>
      </c>
      <c r="H69">
        <v>71882</v>
      </c>
      <c r="I69" s="1" t="s">
        <v>149</v>
      </c>
      <c r="J69" s="1" t="s">
        <v>153</v>
      </c>
      <c r="K69">
        <v>1972</v>
      </c>
      <c r="L69" s="1" t="s">
        <v>152</v>
      </c>
      <c r="M69">
        <v>867.43582085200001</v>
      </c>
      <c r="N69">
        <v>793.46235059699995</v>
      </c>
      <c r="O69">
        <v>1010.3574612800001</v>
      </c>
      <c r="P69">
        <f t="shared" si="6"/>
        <v>890.41854424300016</v>
      </c>
      <c r="Q69">
        <f t="shared" si="7"/>
        <v>90.026020091963176</v>
      </c>
      <c r="R69">
        <f t="shared" si="8"/>
        <v>0.10110528433400931</v>
      </c>
      <c r="S69" t="s">
        <v>157</v>
      </c>
      <c r="T69" t="s">
        <v>161</v>
      </c>
    </row>
    <row r="70" spans="1:20" x14ac:dyDescent="0.55000000000000004">
      <c r="A70" t="s">
        <v>6</v>
      </c>
      <c r="B70">
        <v>72371</v>
      </c>
      <c r="C70">
        <v>73897</v>
      </c>
      <c r="D70" t="s">
        <v>77</v>
      </c>
      <c r="E70">
        <v>1626.9250687166666</v>
      </c>
      <c r="F70" t="s">
        <v>15</v>
      </c>
      <c r="G70">
        <v>72371</v>
      </c>
      <c r="H70">
        <v>73897</v>
      </c>
      <c r="I70" s="1" t="s">
        <v>149</v>
      </c>
      <c r="J70" s="1" t="s">
        <v>153</v>
      </c>
      <c r="K70">
        <v>1526</v>
      </c>
      <c r="L70" s="1" t="s">
        <v>152</v>
      </c>
      <c r="M70">
        <v>2215.5561427399998</v>
      </c>
      <c r="N70">
        <v>1578.83465114</v>
      </c>
      <c r="O70">
        <v>1086.38441227</v>
      </c>
      <c r="P70">
        <f t="shared" si="6"/>
        <v>1626.9250687166666</v>
      </c>
      <c r="Q70">
        <f t="shared" si="7"/>
        <v>462.23494417174032</v>
      </c>
      <c r="R70">
        <f t="shared" si="8"/>
        <v>0.28411569350047294</v>
      </c>
      <c r="S70" t="s">
        <v>157</v>
      </c>
      <c r="T70" t="s">
        <v>162</v>
      </c>
    </row>
    <row r="71" spans="1:20" x14ac:dyDescent="0.55000000000000004">
      <c r="A71" t="s">
        <v>6</v>
      </c>
      <c r="B71">
        <v>74082</v>
      </c>
      <c r="C71">
        <v>74183</v>
      </c>
      <c r="D71" t="s">
        <v>78</v>
      </c>
      <c r="E71">
        <v>640.97262483466659</v>
      </c>
      <c r="F71" t="s">
        <v>15</v>
      </c>
      <c r="G71">
        <v>74082</v>
      </c>
      <c r="H71">
        <v>74183</v>
      </c>
      <c r="I71" s="1" t="s">
        <v>149</v>
      </c>
      <c r="J71" s="1" t="s">
        <v>153</v>
      </c>
      <c r="K71">
        <v>101</v>
      </c>
      <c r="L71" s="1" t="s">
        <v>152</v>
      </c>
      <c r="M71">
        <v>664.61043129500001</v>
      </c>
      <c r="N71">
        <v>503.43349525299999</v>
      </c>
      <c r="O71">
        <v>754.87394795600005</v>
      </c>
      <c r="P71">
        <f t="shared" si="6"/>
        <v>640.97262483466659</v>
      </c>
      <c r="Q71">
        <f t="shared" si="7"/>
        <v>104.00203438575811</v>
      </c>
      <c r="R71">
        <f t="shared" si="8"/>
        <v>0.16225659311516547</v>
      </c>
      <c r="S71" t="s">
        <v>157</v>
      </c>
      <c r="T71" t="s">
        <v>162</v>
      </c>
    </row>
    <row r="72" spans="1:20" x14ac:dyDescent="0.55000000000000004">
      <c r="A72" t="s">
        <v>6</v>
      </c>
      <c r="B72">
        <v>74249</v>
      </c>
      <c r="C72">
        <v>74380</v>
      </c>
      <c r="D72" t="s">
        <v>79</v>
      </c>
      <c r="E72">
        <v>14222.655691026666</v>
      </c>
      <c r="F72" t="s">
        <v>8</v>
      </c>
      <c r="G72">
        <v>74249</v>
      </c>
      <c r="H72">
        <v>74380</v>
      </c>
      <c r="I72" s="1" t="s">
        <v>149</v>
      </c>
      <c r="J72" s="1" t="s">
        <v>153</v>
      </c>
      <c r="K72">
        <v>131</v>
      </c>
      <c r="L72" s="1" t="s">
        <v>152</v>
      </c>
      <c r="M72">
        <v>24479.4891365</v>
      </c>
      <c r="N72">
        <v>4153.3620584800001</v>
      </c>
      <c r="O72">
        <v>14035.115878099999</v>
      </c>
      <c r="P72">
        <f t="shared" si="6"/>
        <v>14222.655691026666</v>
      </c>
      <c r="Q72">
        <f t="shared" si="7"/>
        <v>8299.1661783590807</v>
      </c>
      <c r="R72">
        <f t="shared" si="8"/>
        <v>0.58351733731381661</v>
      </c>
      <c r="S72" t="s">
        <v>157</v>
      </c>
      <c r="T72" t="s">
        <v>162</v>
      </c>
    </row>
    <row r="73" spans="1:20" x14ac:dyDescent="0.55000000000000004">
      <c r="A73" t="s">
        <v>6</v>
      </c>
      <c r="B73">
        <v>74485</v>
      </c>
      <c r="C73">
        <v>74706</v>
      </c>
      <c r="D73" t="s">
        <v>80</v>
      </c>
      <c r="E73">
        <v>273.22375401333335</v>
      </c>
      <c r="F73" t="s">
        <v>15</v>
      </c>
      <c r="G73">
        <v>74485</v>
      </c>
      <c r="H73">
        <v>74706</v>
      </c>
      <c r="I73" s="1" t="s">
        <v>149</v>
      </c>
      <c r="J73" s="1" t="s">
        <v>153</v>
      </c>
      <c r="K73">
        <v>221</v>
      </c>
      <c r="L73" s="1" t="s">
        <v>152</v>
      </c>
      <c r="M73">
        <v>280.24849596799999</v>
      </c>
      <c r="N73">
        <v>357.49568956600001</v>
      </c>
      <c r="O73">
        <v>181.92707650599999</v>
      </c>
      <c r="P73">
        <f t="shared" si="6"/>
        <v>273.22375401333335</v>
      </c>
      <c r="Q73">
        <f t="shared" si="7"/>
        <v>71.847499249452923</v>
      </c>
      <c r="R73">
        <f t="shared" si="8"/>
        <v>0.26296212607468511</v>
      </c>
      <c r="S73" t="s">
        <v>157</v>
      </c>
      <c r="T73" t="s">
        <v>162</v>
      </c>
    </row>
    <row r="74" spans="1:20" x14ac:dyDescent="0.55000000000000004">
      <c r="A74" t="s">
        <v>6</v>
      </c>
      <c r="B74">
        <v>74841</v>
      </c>
      <c r="C74">
        <v>76292</v>
      </c>
      <c r="D74" t="s">
        <v>81</v>
      </c>
      <c r="E74">
        <v>392.46881025533338</v>
      </c>
      <c r="F74" t="s">
        <v>15</v>
      </c>
      <c r="G74">
        <v>74841</v>
      </c>
      <c r="H74">
        <v>76292</v>
      </c>
      <c r="I74" s="1" t="s">
        <v>149</v>
      </c>
      <c r="J74" s="1" t="s">
        <v>153</v>
      </c>
      <c r="K74">
        <v>1451</v>
      </c>
      <c r="L74" s="1" t="s">
        <v>152</v>
      </c>
      <c r="M74">
        <v>398.95591310600003</v>
      </c>
      <c r="N74">
        <v>470.57178339400002</v>
      </c>
      <c r="O74">
        <v>307.87873426599998</v>
      </c>
      <c r="P74">
        <f t="shared" si="6"/>
        <v>392.46881025533338</v>
      </c>
      <c r="Q74">
        <f t="shared" si="7"/>
        <v>66.577368207661351</v>
      </c>
      <c r="R74">
        <f t="shared" si="8"/>
        <v>0.16963734816111189</v>
      </c>
      <c r="S74" t="s">
        <v>157</v>
      </c>
      <c r="T74" t="s">
        <v>161</v>
      </c>
    </row>
    <row r="75" spans="1:20" x14ac:dyDescent="0.55000000000000004">
      <c r="A75" t="s">
        <v>6</v>
      </c>
      <c r="B75">
        <v>76481</v>
      </c>
      <c r="C75">
        <v>77672</v>
      </c>
      <c r="D75" t="s">
        <v>82</v>
      </c>
      <c r="E75">
        <v>623.52202003000002</v>
      </c>
      <c r="F75" t="s">
        <v>15</v>
      </c>
      <c r="G75">
        <v>76481</v>
      </c>
      <c r="H75">
        <v>77672</v>
      </c>
      <c r="I75" s="1" t="s">
        <v>149</v>
      </c>
      <c r="J75" s="1" t="s">
        <v>153</v>
      </c>
      <c r="K75">
        <v>1191</v>
      </c>
      <c r="L75" s="1" t="s">
        <v>152</v>
      </c>
      <c r="M75">
        <v>501.10551066800002</v>
      </c>
      <c r="N75">
        <v>794.19770817599999</v>
      </c>
      <c r="O75">
        <v>575.26284124599999</v>
      </c>
      <c r="P75">
        <f t="shared" si="6"/>
        <v>623.52202003000002</v>
      </c>
      <c r="Q75">
        <f t="shared" si="7"/>
        <v>124.42526622487512</v>
      </c>
      <c r="R75">
        <f t="shared" si="8"/>
        <v>0.19955232089299516</v>
      </c>
      <c r="S75" t="s">
        <v>157</v>
      </c>
      <c r="T75" t="s">
        <v>161</v>
      </c>
    </row>
    <row r="76" spans="1:20" x14ac:dyDescent="0.55000000000000004">
      <c r="A76" t="s">
        <v>6</v>
      </c>
      <c r="B76">
        <v>77901</v>
      </c>
      <c r="C76">
        <v>78890</v>
      </c>
      <c r="D76" t="s">
        <v>83</v>
      </c>
      <c r="E76">
        <v>160.47705550499998</v>
      </c>
      <c r="F76" t="s">
        <v>8</v>
      </c>
      <c r="G76">
        <v>77901</v>
      </c>
      <c r="H76">
        <v>78890</v>
      </c>
      <c r="I76" s="1" t="s">
        <v>149</v>
      </c>
      <c r="J76" s="1" t="s">
        <v>153</v>
      </c>
      <c r="K76">
        <v>989</v>
      </c>
      <c r="L76" s="1" t="s">
        <v>152</v>
      </c>
      <c r="M76">
        <v>117.971271636</v>
      </c>
      <c r="N76">
        <v>126.166433326</v>
      </c>
      <c r="O76">
        <v>237.29346155299999</v>
      </c>
      <c r="P76">
        <f t="shared" si="6"/>
        <v>160.47705550499998</v>
      </c>
      <c r="Q76">
        <f t="shared" si="7"/>
        <v>54.42034146272713</v>
      </c>
      <c r="R76">
        <f t="shared" si="8"/>
        <v>0.33911602684554215</v>
      </c>
      <c r="S76" t="s">
        <v>157</v>
      </c>
      <c r="T76" t="s">
        <v>161</v>
      </c>
    </row>
    <row r="77" spans="1:20" x14ac:dyDescent="0.55000000000000004">
      <c r="A77" t="s">
        <v>6</v>
      </c>
      <c r="B77">
        <v>78960</v>
      </c>
      <c r="C77">
        <v>79376</v>
      </c>
      <c r="D77" t="s">
        <v>84</v>
      </c>
      <c r="E77">
        <v>647.34628391066667</v>
      </c>
      <c r="F77" t="s">
        <v>8</v>
      </c>
      <c r="G77">
        <v>78960</v>
      </c>
      <c r="H77">
        <v>79376</v>
      </c>
      <c r="I77" s="1" t="s">
        <v>149</v>
      </c>
      <c r="J77" s="1" t="s">
        <v>153</v>
      </c>
      <c r="K77">
        <v>416</v>
      </c>
      <c r="L77" s="1" t="s">
        <v>152</v>
      </c>
      <c r="M77">
        <v>575.67711880000002</v>
      </c>
      <c r="N77">
        <v>169.348949922</v>
      </c>
      <c r="O77">
        <v>1197.01278301</v>
      </c>
      <c r="P77">
        <f t="shared" si="6"/>
        <v>647.34628391066667</v>
      </c>
      <c r="Q77">
        <f t="shared" si="7"/>
        <v>422.59167871601159</v>
      </c>
      <c r="R77">
        <f t="shared" si="8"/>
        <v>0.65280621704214326</v>
      </c>
      <c r="S77" t="s">
        <v>157</v>
      </c>
      <c r="T77" t="s">
        <v>162</v>
      </c>
    </row>
    <row r="78" spans="1:20" x14ac:dyDescent="0.55000000000000004">
      <c r="A78" t="s">
        <v>6</v>
      </c>
      <c r="B78">
        <v>79489</v>
      </c>
      <c r="C78">
        <v>79602</v>
      </c>
      <c r="D78" t="s">
        <v>85</v>
      </c>
      <c r="E78">
        <v>202.56118086166668</v>
      </c>
      <c r="F78" t="s">
        <v>8</v>
      </c>
      <c r="G78">
        <v>79489</v>
      </c>
      <c r="H78">
        <v>79602</v>
      </c>
      <c r="I78" s="1" t="s">
        <v>149</v>
      </c>
      <c r="J78" s="1" t="s">
        <v>153</v>
      </c>
      <c r="K78">
        <v>113</v>
      </c>
      <c r="L78" s="1" t="s">
        <v>152</v>
      </c>
      <c r="M78">
        <v>41.759742172000003</v>
      </c>
      <c r="N78">
        <v>65.162217819000006</v>
      </c>
      <c r="O78">
        <v>500.761582594</v>
      </c>
      <c r="P78">
        <f t="shared" si="6"/>
        <v>202.56118086166668</v>
      </c>
      <c r="Q78">
        <f t="shared" si="7"/>
        <v>211.07586102567618</v>
      </c>
      <c r="R78">
        <f t="shared" si="8"/>
        <v>1.0420351033094755</v>
      </c>
      <c r="S78" t="s">
        <v>157</v>
      </c>
      <c r="T78" t="s">
        <v>162</v>
      </c>
    </row>
    <row r="79" spans="1:20" x14ac:dyDescent="0.55000000000000004">
      <c r="A79" t="s">
        <v>6</v>
      </c>
      <c r="B79">
        <v>80068</v>
      </c>
      <c r="C79">
        <v>80472</v>
      </c>
      <c r="D79" t="s">
        <v>86</v>
      </c>
      <c r="E79">
        <v>108.05946545826667</v>
      </c>
      <c r="F79" t="s">
        <v>8</v>
      </c>
      <c r="G79">
        <v>80068</v>
      </c>
      <c r="H79">
        <v>80472</v>
      </c>
      <c r="I79" s="1" t="s">
        <v>149</v>
      </c>
      <c r="J79" s="1" t="s">
        <v>153</v>
      </c>
      <c r="K79">
        <v>404</v>
      </c>
      <c r="L79" s="1" t="s">
        <v>152</v>
      </c>
      <c r="M79">
        <v>74.754073115799997</v>
      </c>
      <c r="N79">
        <v>110.834184376</v>
      </c>
      <c r="O79">
        <v>138.59013888300001</v>
      </c>
      <c r="P79">
        <f t="shared" si="6"/>
        <v>108.05946545826667</v>
      </c>
      <c r="Q79">
        <f t="shared" si="7"/>
        <v>26.134716655091733</v>
      </c>
      <c r="R79">
        <f t="shared" si="8"/>
        <v>0.24185495036698237</v>
      </c>
      <c r="S79" t="s">
        <v>157</v>
      </c>
      <c r="T79" t="s">
        <v>162</v>
      </c>
    </row>
    <row r="80" spans="1:20" x14ac:dyDescent="0.55000000000000004">
      <c r="A80" t="s">
        <v>6</v>
      </c>
      <c r="B80">
        <v>80696</v>
      </c>
      <c r="C80">
        <v>81064</v>
      </c>
      <c r="D80" t="s">
        <v>87</v>
      </c>
      <c r="E80">
        <v>210.86295300733332</v>
      </c>
      <c r="F80" t="s">
        <v>8</v>
      </c>
      <c r="G80">
        <v>80696</v>
      </c>
      <c r="H80">
        <v>81064</v>
      </c>
      <c r="I80" s="1" t="s">
        <v>149</v>
      </c>
      <c r="J80" s="1" t="s">
        <v>153</v>
      </c>
      <c r="K80">
        <v>368</v>
      </c>
      <c r="L80" s="1" t="s">
        <v>152</v>
      </c>
      <c r="M80">
        <v>158.363609207</v>
      </c>
      <c r="N80">
        <v>164.66907842399999</v>
      </c>
      <c r="O80">
        <v>309.55617139100002</v>
      </c>
      <c r="P80">
        <f t="shared" si="6"/>
        <v>210.86295300733332</v>
      </c>
      <c r="Q80">
        <f t="shared" si="7"/>
        <v>69.834104618045728</v>
      </c>
      <c r="R80">
        <f t="shared" si="8"/>
        <v>0.33118242736369657</v>
      </c>
      <c r="S80" t="s">
        <v>157</v>
      </c>
      <c r="T80" t="s">
        <v>162</v>
      </c>
    </row>
    <row r="81" spans="1:20" x14ac:dyDescent="0.55000000000000004">
      <c r="A81" t="s">
        <v>6</v>
      </c>
      <c r="B81">
        <v>81189</v>
      </c>
      <c r="C81">
        <v>82652</v>
      </c>
      <c r="D81" t="s">
        <v>88</v>
      </c>
      <c r="E81">
        <v>216.81676341900001</v>
      </c>
      <c r="F81" t="s">
        <v>8</v>
      </c>
      <c r="G81">
        <v>81189</v>
      </c>
      <c r="H81">
        <v>82652</v>
      </c>
      <c r="I81" s="1" t="s">
        <v>149</v>
      </c>
      <c r="J81" s="1" t="s">
        <v>153</v>
      </c>
      <c r="K81">
        <v>1463</v>
      </c>
      <c r="L81" s="1" t="s">
        <v>152</v>
      </c>
      <c r="M81">
        <v>175.142585094</v>
      </c>
      <c r="N81">
        <v>193.771858251</v>
      </c>
      <c r="O81">
        <v>281.53584691200001</v>
      </c>
      <c r="P81">
        <f t="shared" si="6"/>
        <v>216.81676341900001</v>
      </c>
      <c r="Q81">
        <f t="shared" si="7"/>
        <v>46.390963780460162</v>
      </c>
      <c r="R81">
        <f t="shared" si="8"/>
        <v>0.21396391611477605</v>
      </c>
      <c r="S81" t="s">
        <v>157</v>
      </c>
      <c r="T81" t="s">
        <v>161</v>
      </c>
    </row>
    <row r="82" spans="1:20" x14ac:dyDescent="0.55000000000000004">
      <c r="A82" t="s">
        <v>6</v>
      </c>
      <c r="B82">
        <v>82826</v>
      </c>
      <c r="C82">
        <v>83482</v>
      </c>
      <c r="D82" t="s">
        <v>89</v>
      </c>
      <c r="E82">
        <v>140.13071834366667</v>
      </c>
      <c r="F82" t="s">
        <v>8</v>
      </c>
      <c r="G82">
        <v>82826</v>
      </c>
      <c r="H82">
        <v>83482</v>
      </c>
      <c r="I82" s="1" t="s">
        <v>149</v>
      </c>
      <c r="J82" s="1" t="s">
        <v>153</v>
      </c>
      <c r="K82">
        <v>656</v>
      </c>
      <c r="L82" s="1" t="s">
        <v>152</v>
      </c>
      <c r="M82">
        <v>104.48370247</v>
      </c>
      <c r="N82">
        <v>131.81308304199999</v>
      </c>
      <c r="O82">
        <v>184.095369519</v>
      </c>
      <c r="P82">
        <f t="shared" si="6"/>
        <v>140.13071834366667</v>
      </c>
      <c r="Q82">
        <f t="shared" si="7"/>
        <v>33.029195926622833</v>
      </c>
      <c r="R82">
        <f t="shared" si="8"/>
        <v>0.23570275180934741</v>
      </c>
      <c r="S82" t="s">
        <v>157</v>
      </c>
      <c r="T82" t="s">
        <v>161</v>
      </c>
    </row>
    <row r="83" spans="1:20" x14ac:dyDescent="0.55000000000000004">
      <c r="A83" t="s">
        <v>6</v>
      </c>
      <c r="B83">
        <v>83467</v>
      </c>
      <c r="C83">
        <v>83949</v>
      </c>
      <c r="D83" t="s">
        <v>90</v>
      </c>
      <c r="E83">
        <v>148.05958304379999</v>
      </c>
      <c r="F83" t="s">
        <v>8</v>
      </c>
      <c r="G83">
        <v>83467</v>
      </c>
      <c r="H83">
        <v>83949</v>
      </c>
      <c r="I83" s="1" t="s">
        <v>149</v>
      </c>
      <c r="J83" s="1" t="s">
        <v>153</v>
      </c>
      <c r="K83">
        <v>482</v>
      </c>
      <c r="L83" s="1" t="s">
        <v>152</v>
      </c>
      <c r="M83">
        <v>99.614745966399994</v>
      </c>
      <c r="N83">
        <v>128.61262117999999</v>
      </c>
      <c r="O83">
        <v>215.95138198500001</v>
      </c>
      <c r="P83">
        <f t="shared" si="6"/>
        <v>148.05958304379999</v>
      </c>
      <c r="Q83">
        <f t="shared" si="7"/>
        <v>49.444861305836582</v>
      </c>
      <c r="R83">
        <f t="shared" si="8"/>
        <v>0.33395245541931229</v>
      </c>
      <c r="S83" t="s">
        <v>157</v>
      </c>
      <c r="T83" t="s">
        <v>162</v>
      </c>
    </row>
    <row r="84" spans="1:20" x14ac:dyDescent="0.55000000000000004">
      <c r="A84" t="s">
        <v>6</v>
      </c>
      <c r="B84">
        <v>84005</v>
      </c>
      <c r="C84">
        <v>84283</v>
      </c>
      <c r="D84" t="s">
        <v>91</v>
      </c>
      <c r="E84">
        <v>205.32062929133335</v>
      </c>
      <c r="F84" t="s">
        <v>8</v>
      </c>
      <c r="G84">
        <v>84005</v>
      </c>
      <c r="H84">
        <v>84283</v>
      </c>
      <c r="I84" s="1" t="s">
        <v>149</v>
      </c>
      <c r="J84" s="1" t="s">
        <v>153</v>
      </c>
      <c r="K84">
        <v>278</v>
      </c>
      <c r="L84" s="1" t="s">
        <v>152</v>
      </c>
      <c r="M84">
        <v>183.74662092899999</v>
      </c>
      <c r="N84">
        <v>130.64435513999999</v>
      </c>
      <c r="O84">
        <v>301.57091180499998</v>
      </c>
      <c r="P84">
        <f t="shared" si="6"/>
        <v>205.32062929133335</v>
      </c>
      <c r="Q84">
        <f t="shared" si="7"/>
        <v>71.428520545376358</v>
      </c>
      <c r="R84">
        <f t="shared" si="8"/>
        <v>0.34788769541527692</v>
      </c>
      <c r="S84" t="s">
        <v>157</v>
      </c>
      <c r="T84" t="s">
        <v>162</v>
      </c>
    </row>
    <row r="85" spans="1:20" x14ac:dyDescent="0.55000000000000004">
      <c r="A85" t="s">
        <v>6</v>
      </c>
      <c r="B85">
        <v>84337</v>
      </c>
      <c r="C85">
        <v>85843</v>
      </c>
      <c r="D85" t="s">
        <v>92</v>
      </c>
      <c r="E85">
        <v>274.51102606133333</v>
      </c>
      <c r="F85" t="s">
        <v>8</v>
      </c>
      <c r="G85">
        <v>84337</v>
      </c>
      <c r="H85">
        <v>85843</v>
      </c>
      <c r="I85" s="1" t="s">
        <v>149</v>
      </c>
      <c r="J85" s="1" t="s">
        <v>153</v>
      </c>
      <c r="K85">
        <v>1506</v>
      </c>
      <c r="L85" s="1" t="s">
        <v>152</v>
      </c>
      <c r="M85">
        <v>247.77100410700001</v>
      </c>
      <c r="N85">
        <v>153.74959924000001</v>
      </c>
      <c r="O85">
        <v>422.01247483700001</v>
      </c>
      <c r="P85">
        <f t="shared" si="6"/>
        <v>274.51102606133333</v>
      </c>
      <c r="Q85">
        <f t="shared" si="7"/>
        <v>111.13809483845318</v>
      </c>
      <c r="R85">
        <f t="shared" si="8"/>
        <v>0.40485840016357622</v>
      </c>
      <c r="S85" t="s">
        <v>157</v>
      </c>
      <c r="T85" t="s">
        <v>161</v>
      </c>
    </row>
    <row r="86" spans="1:20" x14ac:dyDescent="0.55000000000000004">
      <c r="A86" t="s">
        <v>6</v>
      </c>
      <c r="B86">
        <v>85862</v>
      </c>
      <c r="C86">
        <v>86143</v>
      </c>
      <c r="D86" t="s">
        <v>93</v>
      </c>
      <c r="E86">
        <v>236.38243616466664</v>
      </c>
      <c r="F86" t="s">
        <v>8</v>
      </c>
      <c r="G86">
        <v>85862</v>
      </c>
      <c r="H86">
        <v>86143</v>
      </c>
      <c r="I86" s="1" t="s">
        <v>149</v>
      </c>
      <c r="J86" s="1" t="s">
        <v>153</v>
      </c>
      <c r="K86">
        <v>281</v>
      </c>
      <c r="L86" s="1" t="s">
        <v>152</v>
      </c>
      <c r="M86">
        <v>195.219364095</v>
      </c>
      <c r="N86">
        <v>106.9407447</v>
      </c>
      <c r="O86">
        <v>406.98719969899997</v>
      </c>
      <c r="P86">
        <f t="shared" si="6"/>
        <v>236.38243616466664</v>
      </c>
      <c r="Q86">
        <f t="shared" si="7"/>
        <v>125.90411077754412</v>
      </c>
      <c r="R86">
        <f t="shared" si="8"/>
        <v>0.53262887387215985</v>
      </c>
      <c r="S86" t="s">
        <v>157</v>
      </c>
      <c r="T86" t="s">
        <v>162</v>
      </c>
    </row>
    <row r="87" spans="1:20" x14ac:dyDescent="0.55000000000000004">
      <c r="A87" t="s">
        <v>6</v>
      </c>
      <c r="B87">
        <v>86312</v>
      </c>
      <c r="C87">
        <v>86385</v>
      </c>
      <c r="D87" t="s">
        <v>94</v>
      </c>
      <c r="E87">
        <v>147.64955511776665</v>
      </c>
      <c r="F87" t="s">
        <v>8</v>
      </c>
      <c r="G87">
        <v>86312</v>
      </c>
      <c r="H87">
        <v>86385</v>
      </c>
      <c r="I87" s="1" t="s">
        <v>149</v>
      </c>
      <c r="J87" s="1" t="s">
        <v>153</v>
      </c>
      <c r="K87">
        <v>73</v>
      </c>
      <c r="L87" s="1" t="s">
        <v>152</v>
      </c>
      <c r="M87">
        <v>30.7048515217</v>
      </c>
      <c r="N87">
        <v>81.784494041599999</v>
      </c>
      <c r="O87">
        <v>330.45931979</v>
      </c>
      <c r="P87">
        <f t="shared" si="6"/>
        <v>147.64955511776665</v>
      </c>
      <c r="Q87">
        <f t="shared" si="7"/>
        <v>130.93723691048368</v>
      </c>
      <c r="R87">
        <f t="shared" si="8"/>
        <v>0.88681091389707822</v>
      </c>
      <c r="S87" t="s">
        <v>156</v>
      </c>
      <c r="T87" t="s">
        <v>162</v>
      </c>
    </row>
    <row r="88" spans="1:20" x14ac:dyDescent="0.55000000000000004">
      <c r="A88" t="s">
        <v>6</v>
      </c>
      <c r="B88">
        <v>86474</v>
      </c>
      <c r="C88">
        <v>93358</v>
      </c>
      <c r="D88" t="s">
        <v>95</v>
      </c>
      <c r="E88">
        <v>181.79227687153332</v>
      </c>
      <c r="F88" t="s">
        <v>15</v>
      </c>
      <c r="G88">
        <v>86474</v>
      </c>
      <c r="H88">
        <v>93358</v>
      </c>
      <c r="I88" s="1" t="s">
        <v>149</v>
      </c>
      <c r="J88" s="1" t="s">
        <v>153</v>
      </c>
      <c r="K88">
        <v>6884</v>
      </c>
      <c r="L88" s="1" t="s">
        <v>152</v>
      </c>
      <c r="M88">
        <v>82.823235882700004</v>
      </c>
      <c r="N88">
        <v>72.301183568900001</v>
      </c>
      <c r="O88">
        <v>390.25241116299998</v>
      </c>
      <c r="P88">
        <f t="shared" si="6"/>
        <v>181.79227687153332</v>
      </c>
      <c r="Q88">
        <f t="shared" si="7"/>
        <v>147.46615224707404</v>
      </c>
      <c r="R88">
        <f t="shared" si="8"/>
        <v>0.81117941193554421</v>
      </c>
      <c r="S88" t="s">
        <v>157</v>
      </c>
      <c r="T88" t="s">
        <v>161</v>
      </c>
    </row>
    <row r="89" spans="1:20" x14ac:dyDescent="0.55000000000000004">
      <c r="A89" t="s">
        <v>6</v>
      </c>
      <c r="B89">
        <v>93495</v>
      </c>
      <c r="C89">
        <v>93728</v>
      </c>
      <c r="D89" t="s">
        <v>96</v>
      </c>
      <c r="E89">
        <v>41.079670427166661</v>
      </c>
      <c r="F89" t="s">
        <v>15</v>
      </c>
      <c r="G89">
        <v>93495</v>
      </c>
      <c r="H89">
        <v>93728</v>
      </c>
      <c r="I89" s="1" t="s">
        <v>149</v>
      </c>
      <c r="J89" s="1" t="s">
        <v>153</v>
      </c>
      <c r="K89">
        <v>233</v>
      </c>
      <c r="L89" s="1" t="s">
        <v>152</v>
      </c>
      <c r="M89">
        <v>21.771522233199999</v>
      </c>
      <c r="N89">
        <v>27.331699296299998</v>
      </c>
      <c r="O89">
        <v>74.135789751999994</v>
      </c>
      <c r="P89">
        <f t="shared" si="6"/>
        <v>41.079670427166661</v>
      </c>
      <c r="Q89">
        <f t="shared" si="7"/>
        <v>23.484167160826615</v>
      </c>
      <c r="R89">
        <f t="shared" si="8"/>
        <v>0.57167369934146672</v>
      </c>
      <c r="S89" t="s">
        <v>157</v>
      </c>
      <c r="T89" t="s">
        <v>159</v>
      </c>
    </row>
    <row r="90" spans="1:20" x14ac:dyDescent="0.55000000000000004">
      <c r="A90" t="s">
        <v>6</v>
      </c>
      <c r="B90">
        <v>94276</v>
      </c>
      <c r="C90">
        <v>94356</v>
      </c>
      <c r="D90" t="s">
        <v>97</v>
      </c>
      <c r="E90">
        <v>226.43670542626668</v>
      </c>
      <c r="F90" t="s">
        <v>8</v>
      </c>
      <c r="G90">
        <v>94276</v>
      </c>
      <c r="H90">
        <v>94356</v>
      </c>
      <c r="I90" s="1" t="s">
        <v>149</v>
      </c>
      <c r="J90" s="1" t="s">
        <v>153</v>
      </c>
      <c r="K90">
        <v>80</v>
      </c>
      <c r="L90" s="1" t="s">
        <v>152</v>
      </c>
      <c r="M90">
        <v>91.427735517800002</v>
      </c>
      <c r="N90">
        <v>131.84341977</v>
      </c>
      <c r="O90">
        <v>456.03896099100001</v>
      </c>
      <c r="P90">
        <f t="shared" si="6"/>
        <v>226.43670542626668</v>
      </c>
      <c r="Q90">
        <f t="shared" si="7"/>
        <v>163.18957013997189</v>
      </c>
      <c r="R90">
        <f t="shared" si="8"/>
        <v>0.72068514613285783</v>
      </c>
      <c r="S90" t="s">
        <v>156</v>
      </c>
      <c r="T90" t="s">
        <v>162</v>
      </c>
    </row>
    <row r="91" spans="1:20" x14ac:dyDescent="0.55000000000000004">
      <c r="A91" t="s">
        <v>6</v>
      </c>
      <c r="B91">
        <v>94941</v>
      </c>
      <c r="C91">
        <v>96795</v>
      </c>
      <c r="D91" t="s">
        <v>98</v>
      </c>
      <c r="E91">
        <v>143.32543181153332</v>
      </c>
      <c r="F91" t="s">
        <v>8</v>
      </c>
      <c r="G91">
        <v>94941</v>
      </c>
      <c r="H91">
        <v>96795</v>
      </c>
      <c r="I91" s="1" t="s">
        <v>149</v>
      </c>
      <c r="J91" s="1" t="s">
        <v>153</v>
      </c>
      <c r="K91">
        <v>1854</v>
      </c>
      <c r="L91" s="1" t="s">
        <v>152</v>
      </c>
      <c r="M91">
        <v>76.293179445199996</v>
      </c>
      <c r="N91">
        <v>75.138217287399996</v>
      </c>
      <c r="O91">
        <v>278.54489870200001</v>
      </c>
      <c r="P91">
        <f t="shared" si="6"/>
        <v>143.32543181153332</v>
      </c>
      <c r="Q91">
        <f t="shared" si="7"/>
        <v>95.615764578870596</v>
      </c>
      <c r="R91">
        <f t="shared" si="8"/>
        <v>0.6671235060683518</v>
      </c>
      <c r="S91" t="s">
        <v>157</v>
      </c>
      <c r="T91" t="s">
        <v>161</v>
      </c>
    </row>
    <row r="92" spans="1:20" x14ac:dyDescent="0.55000000000000004">
      <c r="A92" t="s">
        <v>6</v>
      </c>
      <c r="B92">
        <v>97478</v>
      </c>
      <c r="C92">
        <v>97945</v>
      </c>
      <c r="D92" t="s">
        <v>99</v>
      </c>
      <c r="E92">
        <v>675.85001198833334</v>
      </c>
      <c r="F92" t="s">
        <v>8</v>
      </c>
      <c r="G92">
        <v>97478</v>
      </c>
      <c r="H92">
        <v>97945</v>
      </c>
      <c r="I92" s="1" t="s">
        <v>149</v>
      </c>
      <c r="J92" s="1" t="s">
        <v>153</v>
      </c>
      <c r="K92">
        <v>467</v>
      </c>
      <c r="L92" s="1" t="s">
        <v>152</v>
      </c>
      <c r="M92">
        <v>730.31037751500003</v>
      </c>
      <c r="N92">
        <v>497.52233875299999</v>
      </c>
      <c r="O92">
        <v>799.71731969699999</v>
      </c>
      <c r="P92">
        <f t="shared" si="6"/>
        <v>675.85001198833334</v>
      </c>
      <c r="Q92">
        <f t="shared" si="7"/>
        <v>129.24111881004887</v>
      </c>
      <c r="R92">
        <f t="shared" si="8"/>
        <v>0.19122751574691083</v>
      </c>
      <c r="S92" t="s">
        <v>157</v>
      </c>
      <c r="T92" t="s">
        <v>162</v>
      </c>
    </row>
    <row r="93" spans="1:20" x14ac:dyDescent="0.55000000000000004">
      <c r="A93" t="s">
        <v>6</v>
      </c>
      <c r="B93">
        <v>97999</v>
      </c>
      <c r="C93">
        <v>98793</v>
      </c>
      <c r="D93" t="s">
        <v>100</v>
      </c>
      <c r="E93">
        <v>207.87318966733332</v>
      </c>
      <c r="F93" t="s">
        <v>8</v>
      </c>
      <c r="G93">
        <v>97999</v>
      </c>
      <c r="H93">
        <v>98793</v>
      </c>
      <c r="I93" s="1" t="s">
        <v>149</v>
      </c>
      <c r="J93" s="1" t="s">
        <v>153</v>
      </c>
      <c r="K93">
        <v>794</v>
      </c>
      <c r="L93" s="1" t="s">
        <v>152</v>
      </c>
      <c r="M93">
        <v>183.642936703</v>
      </c>
      <c r="N93">
        <v>160.159584112</v>
      </c>
      <c r="O93">
        <v>279.81704818700001</v>
      </c>
      <c r="P93">
        <f t="shared" si="6"/>
        <v>207.87318966733332</v>
      </c>
      <c r="Q93">
        <f t="shared" si="7"/>
        <v>51.767467559280078</v>
      </c>
      <c r="R93">
        <f t="shared" si="8"/>
        <v>0.24903388283080349</v>
      </c>
      <c r="S93" t="s">
        <v>157</v>
      </c>
      <c r="T93" t="s">
        <v>161</v>
      </c>
    </row>
    <row r="94" spans="1:20" x14ac:dyDescent="0.55000000000000004">
      <c r="A94" t="s">
        <v>6</v>
      </c>
      <c r="B94">
        <v>100709</v>
      </c>
      <c r="C94">
        <v>100780</v>
      </c>
      <c r="D94" t="s">
        <v>101</v>
      </c>
      <c r="E94">
        <v>257.70301923736662</v>
      </c>
      <c r="F94" t="s">
        <v>15</v>
      </c>
      <c r="G94">
        <v>100709</v>
      </c>
      <c r="H94">
        <v>100780</v>
      </c>
      <c r="I94" s="1" t="s">
        <v>149</v>
      </c>
      <c r="J94" s="1" t="s">
        <v>153</v>
      </c>
      <c r="K94">
        <v>71</v>
      </c>
      <c r="L94" s="1" t="s">
        <v>152</v>
      </c>
      <c r="M94">
        <v>147.87948134600001</v>
      </c>
      <c r="N94">
        <v>96.701524997099995</v>
      </c>
      <c r="O94">
        <v>528.52805136899997</v>
      </c>
      <c r="P94">
        <f t="shared" si="6"/>
        <v>257.70301923736662</v>
      </c>
      <c r="Q94">
        <f t="shared" si="7"/>
        <v>192.63859828850102</v>
      </c>
      <c r="R94">
        <f t="shared" si="8"/>
        <v>0.74752169710151639</v>
      </c>
      <c r="S94" t="s">
        <v>156</v>
      </c>
      <c r="T94" t="s">
        <v>162</v>
      </c>
    </row>
    <row r="95" spans="1:20" x14ac:dyDescent="0.55000000000000004">
      <c r="A95" t="s">
        <v>6</v>
      </c>
      <c r="B95">
        <v>101012</v>
      </c>
      <c r="C95">
        <v>102502</v>
      </c>
      <c r="D95" t="s">
        <v>102</v>
      </c>
      <c r="E95">
        <v>82767.963089900004</v>
      </c>
      <c r="F95" t="s">
        <v>15</v>
      </c>
      <c r="G95">
        <v>101012</v>
      </c>
      <c r="H95">
        <v>102502</v>
      </c>
      <c r="I95" s="1" t="s">
        <v>149</v>
      </c>
      <c r="J95" s="1" t="s">
        <v>153</v>
      </c>
      <c r="K95">
        <v>1490</v>
      </c>
      <c r="L95" s="1" t="s">
        <v>152</v>
      </c>
      <c r="M95">
        <v>90564.565851199994</v>
      </c>
      <c r="N95">
        <v>93836.653198600005</v>
      </c>
      <c r="O95">
        <v>63902.670219899999</v>
      </c>
      <c r="P95">
        <f t="shared" si="6"/>
        <v>82767.963089900004</v>
      </c>
      <c r="Q95">
        <f t="shared" si="7"/>
        <v>13406.493332347296</v>
      </c>
      <c r="R95">
        <f t="shared" si="8"/>
        <v>0.16197684263155754</v>
      </c>
      <c r="S95" t="s">
        <v>158</v>
      </c>
      <c r="T95" t="s">
        <v>162</v>
      </c>
    </row>
    <row r="96" spans="1:20" x14ac:dyDescent="0.55000000000000004">
      <c r="A96" t="s">
        <v>6</v>
      </c>
      <c r="B96">
        <v>102801</v>
      </c>
      <c r="C96">
        <v>103601</v>
      </c>
      <c r="D96" t="s">
        <v>103</v>
      </c>
      <c r="E96">
        <v>1046.7057069909999</v>
      </c>
      <c r="F96" t="s">
        <v>15</v>
      </c>
      <c r="G96">
        <v>102801</v>
      </c>
      <c r="H96">
        <v>103601</v>
      </c>
      <c r="I96" s="1" t="s">
        <v>149</v>
      </c>
      <c r="J96" s="1" t="s">
        <v>153</v>
      </c>
      <c r="K96">
        <v>800</v>
      </c>
      <c r="L96" s="1" t="s">
        <v>152</v>
      </c>
      <c r="M96">
        <v>581.00851280699999</v>
      </c>
      <c r="N96">
        <v>729.74089036600003</v>
      </c>
      <c r="O96">
        <v>1829.3677178</v>
      </c>
      <c r="P96">
        <f t="shared" si="6"/>
        <v>1046.7057069909999</v>
      </c>
      <c r="Q96">
        <f t="shared" si="7"/>
        <v>556.74661945166099</v>
      </c>
      <c r="R96">
        <f t="shared" si="8"/>
        <v>0.53190368193573645</v>
      </c>
      <c r="S96" t="s">
        <v>156</v>
      </c>
      <c r="T96" t="s">
        <v>162</v>
      </c>
    </row>
    <row r="97" spans="1:20" x14ac:dyDescent="0.55000000000000004">
      <c r="A97" t="s">
        <v>6</v>
      </c>
      <c r="B97">
        <v>103665</v>
      </c>
      <c r="C97">
        <v>104538</v>
      </c>
      <c r="D97" t="s">
        <v>104</v>
      </c>
      <c r="E97">
        <v>1528.2175574986668</v>
      </c>
      <c r="F97" t="s">
        <v>15</v>
      </c>
      <c r="G97">
        <v>103665</v>
      </c>
      <c r="H97">
        <v>104538</v>
      </c>
      <c r="I97" s="1" t="s">
        <v>149</v>
      </c>
      <c r="J97" s="1" t="s">
        <v>153</v>
      </c>
      <c r="K97">
        <v>873</v>
      </c>
      <c r="L97" s="1" t="s">
        <v>152</v>
      </c>
      <c r="M97">
        <v>1106.2002630100001</v>
      </c>
      <c r="N97">
        <v>933.49552219600002</v>
      </c>
      <c r="O97">
        <v>2544.9568872899999</v>
      </c>
      <c r="P97">
        <f t="shared" si="6"/>
        <v>1528.2175574986668</v>
      </c>
      <c r="Q97">
        <f t="shared" si="7"/>
        <v>722.39226667755554</v>
      </c>
      <c r="R97">
        <f t="shared" si="8"/>
        <v>0.47270250438683742</v>
      </c>
      <c r="S97" t="s">
        <v>156</v>
      </c>
      <c r="T97" t="s">
        <v>162</v>
      </c>
    </row>
    <row r="98" spans="1:20" x14ac:dyDescent="0.55000000000000004">
      <c r="A98" t="s">
        <v>6</v>
      </c>
      <c r="B98">
        <v>104691</v>
      </c>
      <c r="C98">
        <v>107500</v>
      </c>
      <c r="D98" t="s">
        <v>105</v>
      </c>
      <c r="E98">
        <v>86552.178832200007</v>
      </c>
      <c r="F98" t="s">
        <v>15</v>
      </c>
      <c r="G98">
        <v>104691</v>
      </c>
      <c r="H98">
        <v>107500</v>
      </c>
      <c r="I98" s="1" t="s">
        <v>149</v>
      </c>
      <c r="J98" s="1" t="s">
        <v>153</v>
      </c>
      <c r="K98">
        <v>2809</v>
      </c>
      <c r="L98" s="1" t="s">
        <v>152</v>
      </c>
      <c r="M98">
        <v>86064.935379400005</v>
      </c>
      <c r="N98">
        <v>87413.984161700006</v>
      </c>
      <c r="O98">
        <v>86177.616955499994</v>
      </c>
      <c r="P98">
        <f t="shared" ref="P98:P129" si="9">AVERAGE(M98:O98)</f>
        <v>86552.178832200007</v>
      </c>
      <c r="Q98">
        <f t="shared" ref="Q98:Q134" si="10">_xlfn.STDEV.P(M98:O98)</f>
        <v>611.12224847082337</v>
      </c>
      <c r="R98">
        <f t="shared" ref="R98:R129" si="11">Q98/P98</f>
        <v>7.0607378891710528E-3</v>
      </c>
      <c r="S98" t="s">
        <v>158</v>
      </c>
      <c r="T98" t="s">
        <v>162</v>
      </c>
    </row>
    <row r="99" spans="1:20" x14ac:dyDescent="0.55000000000000004">
      <c r="A99" t="s">
        <v>6</v>
      </c>
      <c r="B99">
        <v>107599</v>
      </c>
      <c r="C99">
        <v>107701</v>
      </c>
      <c r="D99" t="s">
        <v>106</v>
      </c>
      <c r="E99">
        <v>19086.9289407</v>
      </c>
      <c r="F99" t="s">
        <v>15</v>
      </c>
      <c r="G99">
        <v>107599</v>
      </c>
      <c r="H99">
        <v>107701</v>
      </c>
      <c r="I99" s="1" t="s">
        <v>149</v>
      </c>
      <c r="J99" s="1" t="s">
        <v>153</v>
      </c>
      <c r="K99">
        <v>102</v>
      </c>
      <c r="L99" s="1" t="s">
        <v>152</v>
      </c>
      <c r="M99">
        <v>31704.2009616</v>
      </c>
      <c r="N99">
        <v>17804.470989400001</v>
      </c>
      <c r="O99">
        <v>7752.1148710999996</v>
      </c>
      <c r="P99">
        <f t="shared" si="9"/>
        <v>19086.9289407</v>
      </c>
      <c r="Q99">
        <f t="shared" si="10"/>
        <v>9820.3574551140264</v>
      </c>
      <c r="R99">
        <f t="shared" si="11"/>
        <v>0.51450694271583908</v>
      </c>
      <c r="S99" t="s">
        <v>158</v>
      </c>
      <c r="T99" t="s">
        <v>162</v>
      </c>
    </row>
    <row r="100" spans="1:20" x14ac:dyDescent="0.55000000000000004">
      <c r="A100" t="s">
        <v>6</v>
      </c>
      <c r="B100">
        <v>107949</v>
      </c>
      <c r="C100">
        <v>108069</v>
      </c>
      <c r="D100" t="s">
        <v>107</v>
      </c>
      <c r="E100">
        <v>16062.434114066667</v>
      </c>
      <c r="F100" t="s">
        <v>15</v>
      </c>
      <c r="G100">
        <v>107949</v>
      </c>
      <c r="H100">
        <v>108069</v>
      </c>
      <c r="I100" s="1" t="s">
        <v>149</v>
      </c>
      <c r="J100" s="1" t="s">
        <v>153</v>
      </c>
      <c r="K100">
        <v>120</v>
      </c>
      <c r="L100" s="1" t="s">
        <v>152</v>
      </c>
      <c r="M100">
        <v>18173.474395500001</v>
      </c>
      <c r="N100">
        <v>18757.421374900001</v>
      </c>
      <c r="O100">
        <v>11256.4065718</v>
      </c>
      <c r="P100">
        <f t="shared" si="9"/>
        <v>16062.434114066667</v>
      </c>
      <c r="Q100">
        <f t="shared" si="10"/>
        <v>3406.7260991022754</v>
      </c>
      <c r="R100">
        <f t="shared" si="11"/>
        <v>0.21209276719266584</v>
      </c>
      <c r="S100" t="s">
        <v>158</v>
      </c>
      <c r="T100" t="s">
        <v>162</v>
      </c>
    </row>
    <row r="101" spans="1:20" x14ac:dyDescent="0.55000000000000004">
      <c r="A101" t="s">
        <v>6</v>
      </c>
      <c r="B101">
        <v>108302</v>
      </c>
      <c r="C101">
        <v>108375</v>
      </c>
      <c r="D101" t="s">
        <v>108</v>
      </c>
      <c r="E101">
        <v>100.04040947538668</v>
      </c>
      <c r="F101" t="s">
        <v>15</v>
      </c>
      <c r="G101">
        <v>108302</v>
      </c>
      <c r="H101">
        <v>108375</v>
      </c>
      <c r="I101" s="1" t="s">
        <v>149</v>
      </c>
      <c r="J101" s="1" t="s">
        <v>153</v>
      </c>
      <c r="K101">
        <v>73</v>
      </c>
      <c r="L101" s="1" t="s">
        <v>152</v>
      </c>
      <c r="M101">
        <v>100.19477865</v>
      </c>
      <c r="N101">
        <v>8.1784494041600002</v>
      </c>
      <c r="O101">
        <v>191.74800037200001</v>
      </c>
      <c r="P101">
        <f t="shared" si="9"/>
        <v>100.04040947538668</v>
      </c>
      <c r="Q101">
        <f t="shared" si="10"/>
        <v>74.9420348581273</v>
      </c>
      <c r="R101">
        <f t="shared" si="11"/>
        <v>0.74911763407531407</v>
      </c>
      <c r="S101" t="s">
        <v>156</v>
      </c>
      <c r="T101" t="s">
        <v>162</v>
      </c>
    </row>
    <row r="102" spans="1:20" x14ac:dyDescent="0.55000000000000004">
      <c r="A102" t="s">
        <v>6</v>
      </c>
      <c r="B102">
        <v>109013</v>
      </c>
      <c r="C102">
        <v>109084</v>
      </c>
      <c r="D102" t="s">
        <v>109</v>
      </c>
      <c r="E102">
        <v>304.06116540766669</v>
      </c>
      <c r="F102" t="s">
        <v>8</v>
      </c>
      <c r="G102">
        <v>109013</v>
      </c>
      <c r="H102">
        <v>109084</v>
      </c>
      <c r="I102" s="1" t="s">
        <v>149</v>
      </c>
      <c r="J102" s="1" t="s">
        <v>153</v>
      </c>
      <c r="K102">
        <v>71</v>
      </c>
      <c r="L102" s="1" t="s">
        <v>152</v>
      </c>
      <c r="M102">
        <v>142.894779728</v>
      </c>
      <c r="N102">
        <v>114.920652895</v>
      </c>
      <c r="O102">
        <v>654.36806360000003</v>
      </c>
      <c r="P102">
        <f t="shared" si="9"/>
        <v>304.06116540766669</v>
      </c>
      <c r="Q102">
        <f t="shared" si="10"/>
        <v>247.96751149275923</v>
      </c>
      <c r="R102">
        <f t="shared" si="11"/>
        <v>0.81551851963830857</v>
      </c>
      <c r="S102" t="s">
        <v>156</v>
      </c>
      <c r="T102" t="s">
        <v>162</v>
      </c>
    </row>
    <row r="103" spans="1:20" x14ac:dyDescent="0.55000000000000004">
      <c r="A103" t="s">
        <v>6</v>
      </c>
      <c r="B103">
        <v>109405</v>
      </c>
      <c r="C103">
        <v>110436</v>
      </c>
      <c r="D103" t="s">
        <v>110</v>
      </c>
      <c r="E103">
        <v>274.16972956733338</v>
      </c>
      <c r="F103" t="s">
        <v>15</v>
      </c>
      <c r="G103">
        <v>109405</v>
      </c>
      <c r="H103">
        <v>110436</v>
      </c>
      <c r="I103" s="1" t="s">
        <v>149</v>
      </c>
      <c r="J103" s="1" t="s">
        <v>153</v>
      </c>
      <c r="K103">
        <v>1031</v>
      </c>
      <c r="L103" s="1" t="s">
        <v>152</v>
      </c>
      <c r="M103">
        <v>167.860189612</v>
      </c>
      <c r="N103">
        <v>220.338215203</v>
      </c>
      <c r="O103">
        <v>434.31078388700001</v>
      </c>
      <c r="P103">
        <f t="shared" si="9"/>
        <v>274.16972956733338</v>
      </c>
      <c r="Q103">
        <f t="shared" si="10"/>
        <v>115.24569045143861</v>
      </c>
      <c r="R103">
        <f t="shared" si="11"/>
        <v>0.42034432697332258</v>
      </c>
      <c r="S103" t="s">
        <v>157</v>
      </c>
      <c r="T103" t="s">
        <v>161</v>
      </c>
    </row>
    <row r="104" spans="1:20" x14ac:dyDescent="0.55000000000000004">
      <c r="A104" t="s">
        <v>6</v>
      </c>
      <c r="B104">
        <v>110398</v>
      </c>
      <c r="C104">
        <v>112638</v>
      </c>
      <c r="D104" t="s">
        <v>111</v>
      </c>
      <c r="E104">
        <v>405.6055807366667</v>
      </c>
      <c r="F104" t="s">
        <v>8</v>
      </c>
      <c r="G104">
        <v>110398</v>
      </c>
      <c r="H104">
        <v>112638</v>
      </c>
      <c r="I104" s="1" t="s">
        <v>149</v>
      </c>
      <c r="J104" s="1" t="s">
        <v>153</v>
      </c>
      <c r="K104">
        <v>2240</v>
      </c>
      <c r="L104" s="1" t="s">
        <v>152</v>
      </c>
      <c r="M104">
        <v>264.64537498700003</v>
      </c>
      <c r="N104">
        <v>213.40154601500001</v>
      </c>
      <c r="O104">
        <v>738.76982120800005</v>
      </c>
      <c r="P104">
        <f t="shared" si="9"/>
        <v>405.6055807366667</v>
      </c>
      <c r="Q104">
        <f t="shared" si="10"/>
        <v>236.50974729533991</v>
      </c>
      <c r="R104">
        <f t="shared" si="11"/>
        <v>0.58310279376774721</v>
      </c>
      <c r="S104" t="s">
        <v>157</v>
      </c>
      <c r="T104" t="s">
        <v>162</v>
      </c>
    </row>
    <row r="105" spans="1:20" x14ac:dyDescent="0.55000000000000004">
      <c r="A105" t="s">
        <v>6</v>
      </c>
      <c r="B105">
        <v>113449</v>
      </c>
      <c r="C105">
        <v>113607</v>
      </c>
      <c r="D105" t="s">
        <v>112</v>
      </c>
      <c r="E105">
        <v>273.58929660099994</v>
      </c>
      <c r="F105" t="s">
        <v>15</v>
      </c>
      <c r="G105">
        <v>113449</v>
      </c>
      <c r="H105">
        <v>113607</v>
      </c>
      <c r="I105" s="1" t="s">
        <v>149</v>
      </c>
      <c r="J105" s="1" t="s">
        <v>153</v>
      </c>
      <c r="K105">
        <v>158</v>
      </c>
      <c r="L105" s="1" t="s">
        <v>152</v>
      </c>
      <c r="M105">
        <v>147.09076273599999</v>
      </c>
      <c r="N105">
        <v>459.735832012</v>
      </c>
      <c r="O105">
        <v>213.94129505500001</v>
      </c>
      <c r="P105">
        <f t="shared" si="9"/>
        <v>273.58929660099994</v>
      </c>
      <c r="Q105">
        <f t="shared" si="10"/>
        <v>134.42506686371772</v>
      </c>
      <c r="R105">
        <f t="shared" si="11"/>
        <v>0.49133891030745247</v>
      </c>
      <c r="S105" t="s">
        <v>157</v>
      </c>
      <c r="T105" t="s">
        <v>162</v>
      </c>
    </row>
    <row r="106" spans="1:20" x14ac:dyDescent="0.55000000000000004">
      <c r="A106" t="s">
        <v>6</v>
      </c>
      <c r="B106">
        <v>114270</v>
      </c>
      <c r="C106">
        <v>114349</v>
      </c>
      <c r="D106" t="s">
        <v>113</v>
      </c>
      <c r="E106">
        <v>61.430255509666665</v>
      </c>
      <c r="F106" t="s">
        <v>15</v>
      </c>
      <c r="G106">
        <v>114270</v>
      </c>
      <c r="H106">
        <v>114349</v>
      </c>
      <c r="I106" s="1" t="s">
        <v>149</v>
      </c>
      <c r="J106" s="1" t="s">
        <v>153</v>
      </c>
      <c r="K106">
        <v>79</v>
      </c>
      <c r="L106" s="1" t="s">
        <v>152</v>
      </c>
      <c r="M106">
        <v>52.265753256399996</v>
      </c>
      <c r="N106">
        <v>34.0078560667</v>
      </c>
      <c r="O106">
        <v>98.017157205900006</v>
      </c>
      <c r="P106">
        <f t="shared" si="9"/>
        <v>61.430255509666665</v>
      </c>
      <c r="Q106">
        <f t="shared" si="10"/>
        <v>26.923208504247722</v>
      </c>
      <c r="R106">
        <f t="shared" si="11"/>
        <v>0.43827277423599653</v>
      </c>
      <c r="S106" t="s">
        <v>156</v>
      </c>
      <c r="T106" t="s">
        <v>162</v>
      </c>
    </row>
    <row r="107" spans="1:20" x14ac:dyDescent="0.55000000000000004">
      <c r="A107" t="s">
        <v>6</v>
      </c>
      <c r="B107">
        <v>114461</v>
      </c>
      <c r="C107">
        <v>115447</v>
      </c>
      <c r="D107" t="s">
        <v>114</v>
      </c>
      <c r="E107">
        <v>91.427595677166664</v>
      </c>
      <c r="F107" t="s">
        <v>15</v>
      </c>
      <c r="G107">
        <v>114461</v>
      </c>
      <c r="H107">
        <v>115447</v>
      </c>
      <c r="I107" s="1" t="s">
        <v>149</v>
      </c>
      <c r="J107" s="1" t="s">
        <v>153</v>
      </c>
      <c r="K107">
        <v>986</v>
      </c>
      <c r="L107" s="1" t="s">
        <v>152</v>
      </c>
      <c r="M107">
        <v>58.985635817999999</v>
      </c>
      <c r="N107">
        <v>80.733848073499999</v>
      </c>
      <c r="O107">
        <v>134.56330313999999</v>
      </c>
      <c r="P107">
        <f t="shared" si="9"/>
        <v>91.427595677166664</v>
      </c>
      <c r="Q107">
        <f t="shared" si="10"/>
        <v>31.767521441633026</v>
      </c>
      <c r="R107">
        <f t="shared" si="11"/>
        <v>0.34746097396900832</v>
      </c>
      <c r="S107" t="s">
        <v>157</v>
      </c>
      <c r="T107" t="s">
        <v>162</v>
      </c>
    </row>
    <row r="108" spans="1:20" x14ac:dyDescent="0.55000000000000004">
      <c r="A108" t="s">
        <v>6</v>
      </c>
      <c r="B108">
        <v>115665</v>
      </c>
      <c r="C108">
        <v>117185</v>
      </c>
      <c r="D108" t="s">
        <v>115</v>
      </c>
      <c r="E108">
        <v>341.48222855566672</v>
      </c>
      <c r="F108" t="s">
        <v>8</v>
      </c>
      <c r="G108">
        <v>115665</v>
      </c>
      <c r="H108">
        <v>117185</v>
      </c>
      <c r="I108" s="1" t="s">
        <v>149</v>
      </c>
      <c r="J108" s="1" t="s">
        <v>153</v>
      </c>
      <c r="K108">
        <v>1520</v>
      </c>
      <c r="L108" s="1" t="s">
        <v>152</v>
      </c>
      <c r="M108">
        <v>337.22708898600001</v>
      </c>
      <c r="N108">
        <v>243.72048252299999</v>
      </c>
      <c r="O108">
        <v>443.499114158</v>
      </c>
      <c r="P108">
        <f t="shared" si="9"/>
        <v>341.48222855566672</v>
      </c>
      <c r="Q108">
        <f t="shared" si="10"/>
        <v>81.614766123360482</v>
      </c>
      <c r="R108">
        <f t="shared" si="11"/>
        <v>0.23900150373434748</v>
      </c>
      <c r="S108" t="s">
        <v>157</v>
      </c>
      <c r="T108" t="s">
        <v>162</v>
      </c>
    </row>
    <row r="109" spans="1:20" x14ac:dyDescent="0.55000000000000004">
      <c r="A109" t="s">
        <v>6</v>
      </c>
      <c r="B109">
        <v>117318</v>
      </c>
      <c r="C109">
        <v>117563</v>
      </c>
      <c r="D109" t="s">
        <v>116</v>
      </c>
      <c r="E109">
        <v>146.69812104366667</v>
      </c>
      <c r="F109" t="s">
        <v>8</v>
      </c>
      <c r="G109">
        <v>117318</v>
      </c>
      <c r="H109">
        <v>117563</v>
      </c>
      <c r="I109" s="1" t="s">
        <v>149</v>
      </c>
      <c r="J109" s="1" t="s">
        <v>153</v>
      </c>
      <c r="K109">
        <v>245</v>
      </c>
      <c r="L109" s="1" t="s">
        <v>152</v>
      </c>
      <c r="M109">
        <v>177.197665151</v>
      </c>
      <c r="N109">
        <v>141.33695827400001</v>
      </c>
      <c r="O109">
        <v>121.559739706</v>
      </c>
      <c r="P109">
        <f t="shared" si="9"/>
        <v>146.69812104366667</v>
      </c>
      <c r="Q109">
        <f t="shared" si="10"/>
        <v>23.028261428629943</v>
      </c>
      <c r="R109">
        <f t="shared" si="11"/>
        <v>0.1569772077842447</v>
      </c>
      <c r="S109" t="s">
        <v>157</v>
      </c>
      <c r="T109" t="s">
        <v>162</v>
      </c>
    </row>
    <row r="110" spans="1:20" x14ac:dyDescent="0.55000000000000004">
      <c r="A110" t="s">
        <v>6</v>
      </c>
      <c r="B110">
        <v>117804</v>
      </c>
      <c r="C110">
        <v>118109</v>
      </c>
      <c r="D110" t="s">
        <v>117</v>
      </c>
      <c r="E110">
        <v>649.17668276699999</v>
      </c>
      <c r="F110" t="s">
        <v>8</v>
      </c>
      <c r="G110">
        <v>117804</v>
      </c>
      <c r="H110">
        <v>118109</v>
      </c>
      <c r="I110" s="1" t="s">
        <v>149</v>
      </c>
      <c r="J110" s="1" t="s">
        <v>153</v>
      </c>
      <c r="K110">
        <v>305</v>
      </c>
      <c r="L110" s="1" t="s">
        <v>152</v>
      </c>
      <c r="M110">
        <v>962.72293476000004</v>
      </c>
      <c r="N110">
        <v>510.245860859</v>
      </c>
      <c r="O110">
        <v>474.56125268199997</v>
      </c>
      <c r="P110">
        <f t="shared" si="9"/>
        <v>649.17668276699999</v>
      </c>
      <c r="Q110">
        <f t="shared" si="10"/>
        <v>222.18878897509637</v>
      </c>
      <c r="R110">
        <f t="shared" si="11"/>
        <v>0.34226243004917589</v>
      </c>
      <c r="S110" t="s">
        <v>157</v>
      </c>
      <c r="T110" t="s">
        <v>162</v>
      </c>
    </row>
    <row r="111" spans="1:20" x14ac:dyDescent="0.55000000000000004">
      <c r="A111" t="s">
        <v>6</v>
      </c>
      <c r="B111">
        <v>118377</v>
      </c>
      <c r="C111">
        <v>118907</v>
      </c>
      <c r="D111" t="s">
        <v>118</v>
      </c>
      <c r="E111">
        <v>1849.5445958846667</v>
      </c>
      <c r="F111" t="s">
        <v>8</v>
      </c>
      <c r="G111">
        <v>118377</v>
      </c>
      <c r="H111">
        <v>118907</v>
      </c>
      <c r="I111" s="1" t="s">
        <v>149</v>
      </c>
      <c r="J111" s="1" t="s">
        <v>153</v>
      </c>
      <c r="K111">
        <v>530</v>
      </c>
      <c r="L111" s="1" t="s">
        <v>152</v>
      </c>
      <c r="M111">
        <v>1751.31691553</v>
      </c>
      <c r="N111">
        <v>929.52192421400002</v>
      </c>
      <c r="O111">
        <v>2867.7949479099998</v>
      </c>
      <c r="P111">
        <f t="shared" si="9"/>
        <v>1849.5445958846667</v>
      </c>
      <c r="Q111">
        <f t="shared" si="10"/>
        <v>794.33917461321369</v>
      </c>
      <c r="R111">
        <f t="shared" si="11"/>
        <v>0.42947824906772175</v>
      </c>
      <c r="S111" t="s">
        <v>157</v>
      </c>
      <c r="T111" t="s">
        <v>162</v>
      </c>
    </row>
    <row r="112" spans="1:20" x14ac:dyDescent="0.55000000000000004">
      <c r="A112" t="s">
        <v>6</v>
      </c>
      <c r="B112">
        <v>119244</v>
      </c>
      <c r="C112">
        <v>119762</v>
      </c>
      <c r="D112" t="s">
        <v>119</v>
      </c>
      <c r="E112">
        <v>60.32598503436666</v>
      </c>
      <c r="F112" t="s">
        <v>8</v>
      </c>
      <c r="G112">
        <v>119244</v>
      </c>
      <c r="H112">
        <v>119762</v>
      </c>
      <c r="I112" s="1" t="s">
        <v>149</v>
      </c>
      <c r="J112" s="1" t="s">
        <v>153</v>
      </c>
      <c r="K112">
        <v>518</v>
      </c>
      <c r="L112" s="1" t="s">
        <v>152</v>
      </c>
      <c r="M112">
        <v>46.687472365600001</v>
      </c>
      <c r="N112">
        <v>58.972725095400001</v>
      </c>
      <c r="O112">
        <v>75.317757642100005</v>
      </c>
      <c r="P112">
        <f t="shared" si="9"/>
        <v>60.32598503436666</v>
      </c>
      <c r="Q112">
        <f t="shared" si="10"/>
        <v>11.727369500453593</v>
      </c>
      <c r="R112">
        <f t="shared" si="11"/>
        <v>0.19439996700878925</v>
      </c>
      <c r="S112" t="s">
        <v>157</v>
      </c>
      <c r="T112" t="s">
        <v>162</v>
      </c>
    </row>
    <row r="113" spans="1:20" x14ac:dyDescent="0.55000000000000004">
      <c r="A113" t="s">
        <v>6</v>
      </c>
      <c r="B113">
        <v>119847</v>
      </c>
      <c r="C113">
        <v>122009</v>
      </c>
      <c r="D113" t="s">
        <v>120</v>
      </c>
      <c r="E113">
        <v>260.26195841366666</v>
      </c>
      <c r="F113" t="s">
        <v>8</v>
      </c>
      <c r="G113">
        <v>119847</v>
      </c>
      <c r="H113">
        <v>122009</v>
      </c>
      <c r="I113" s="1" t="s">
        <v>149</v>
      </c>
      <c r="J113" s="1" t="s">
        <v>153</v>
      </c>
      <c r="K113">
        <v>2162</v>
      </c>
      <c r="L113" s="1" t="s">
        <v>152</v>
      </c>
      <c r="M113">
        <v>253.130772025</v>
      </c>
      <c r="N113">
        <v>244.71103377899999</v>
      </c>
      <c r="O113">
        <v>282.944069437</v>
      </c>
      <c r="P113">
        <f t="shared" si="9"/>
        <v>260.26195841366666</v>
      </c>
      <c r="Q113">
        <f t="shared" si="10"/>
        <v>16.402878169981907</v>
      </c>
      <c r="R113">
        <f t="shared" si="11"/>
        <v>6.3024493744532478E-2</v>
      </c>
      <c r="S113" t="s">
        <v>157</v>
      </c>
      <c r="T113" t="s">
        <v>161</v>
      </c>
    </row>
    <row r="114" spans="1:20" x14ac:dyDescent="0.55000000000000004">
      <c r="A114" t="s">
        <v>6</v>
      </c>
      <c r="B114">
        <v>122011</v>
      </c>
      <c r="C114">
        <v>123192</v>
      </c>
      <c r="D114" t="s">
        <v>121</v>
      </c>
      <c r="E114">
        <v>68.659934564466667</v>
      </c>
      <c r="F114" t="s">
        <v>8</v>
      </c>
      <c r="G114">
        <v>122011</v>
      </c>
      <c r="H114">
        <v>123192</v>
      </c>
      <c r="I114" s="1" t="s">
        <v>149</v>
      </c>
      <c r="J114" s="1" t="s">
        <v>153</v>
      </c>
      <c r="K114">
        <v>1181</v>
      </c>
      <c r="L114" s="1" t="s">
        <v>152</v>
      </c>
      <c r="M114">
        <v>65.828169354899998</v>
      </c>
      <c r="N114">
        <v>47.098219705799998</v>
      </c>
      <c r="O114">
        <v>93.053414632699997</v>
      </c>
      <c r="P114">
        <f t="shared" si="9"/>
        <v>68.659934564466667</v>
      </c>
      <c r="Q114">
        <f t="shared" si="10"/>
        <v>18.86768234917276</v>
      </c>
      <c r="R114">
        <f t="shared" si="11"/>
        <v>0.27479901443042282</v>
      </c>
      <c r="S114" t="s">
        <v>157</v>
      </c>
      <c r="T114" t="s">
        <v>161</v>
      </c>
    </row>
    <row r="115" spans="1:20" x14ac:dyDescent="0.55000000000000004">
      <c r="A115" t="s">
        <v>6</v>
      </c>
      <c r="B115">
        <v>123296</v>
      </c>
      <c r="C115">
        <v>123562</v>
      </c>
      <c r="D115" t="s">
        <v>122</v>
      </c>
      <c r="E115">
        <v>170.95328613366667</v>
      </c>
      <c r="F115" t="s">
        <v>8</v>
      </c>
      <c r="G115">
        <v>123296</v>
      </c>
      <c r="H115">
        <v>123562</v>
      </c>
      <c r="I115" s="1" t="s">
        <v>149</v>
      </c>
      <c r="J115" s="1" t="s">
        <v>153</v>
      </c>
      <c r="K115">
        <v>266</v>
      </c>
      <c r="L115" s="1" t="s">
        <v>152</v>
      </c>
      <c r="M115">
        <v>118.414772657</v>
      </c>
      <c r="N115">
        <v>144.76777826899999</v>
      </c>
      <c r="O115">
        <v>249.67730747499999</v>
      </c>
      <c r="P115">
        <f t="shared" si="9"/>
        <v>170.95328613366667</v>
      </c>
      <c r="Q115">
        <f t="shared" si="10"/>
        <v>56.696407166060339</v>
      </c>
      <c r="R115">
        <f t="shared" si="11"/>
        <v>0.33164853655828519</v>
      </c>
      <c r="S115" t="s">
        <v>157</v>
      </c>
      <c r="T115" t="s">
        <v>162</v>
      </c>
    </row>
    <row r="116" spans="1:20" x14ac:dyDescent="0.55000000000000004">
      <c r="A116" t="s">
        <v>6</v>
      </c>
      <c r="B116">
        <v>123884</v>
      </c>
      <c r="C116">
        <v>129244</v>
      </c>
      <c r="D116" t="s">
        <v>123</v>
      </c>
      <c r="E116">
        <v>187.23932511833331</v>
      </c>
      <c r="F116" t="s">
        <v>8</v>
      </c>
      <c r="G116">
        <v>123884</v>
      </c>
      <c r="H116">
        <v>129244</v>
      </c>
      <c r="I116" s="1" t="s">
        <v>149</v>
      </c>
      <c r="J116" s="1" t="s">
        <v>153</v>
      </c>
      <c r="K116">
        <v>5360</v>
      </c>
      <c r="L116" s="1" t="s">
        <v>152</v>
      </c>
      <c r="M116">
        <v>131.06696317000001</v>
      </c>
      <c r="N116">
        <v>133.82979627099999</v>
      </c>
      <c r="O116">
        <v>296.82121591399999</v>
      </c>
      <c r="P116">
        <f t="shared" si="9"/>
        <v>187.23932511833331</v>
      </c>
      <c r="Q116">
        <f t="shared" si="10"/>
        <v>77.49430690681335</v>
      </c>
      <c r="R116">
        <f t="shared" si="11"/>
        <v>0.41387837121201837</v>
      </c>
      <c r="S116" t="s">
        <v>157</v>
      </c>
      <c r="T116" t="s">
        <v>161</v>
      </c>
    </row>
    <row r="117" spans="1:20" x14ac:dyDescent="0.55000000000000004">
      <c r="A117" t="s">
        <v>6</v>
      </c>
      <c r="B117">
        <v>129565</v>
      </c>
      <c r="C117">
        <v>129636</v>
      </c>
      <c r="D117" t="s">
        <v>124</v>
      </c>
      <c r="E117">
        <v>322.76766265933333</v>
      </c>
      <c r="F117" t="s">
        <v>15</v>
      </c>
      <c r="G117">
        <v>129565</v>
      </c>
      <c r="H117">
        <v>129636</v>
      </c>
      <c r="I117" s="1" t="s">
        <v>149</v>
      </c>
      <c r="J117" s="1" t="s">
        <v>153</v>
      </c>
      <c r="K117">
        <v>71</v>
      </c>
      <c r="L117" s="1" t="s">
        <v>152</v>
      </c>
      <c r="M117">
        <v>59.816419420999999</v>
      </c>
      <c r="N117">
        <v>147.15449456100001</v>
      </c>
      <c r="O117">
        <v>761.33207399599996</v>
      </c>
      <c r="P117">
        <f t="shared" si="9"/>
        <v>322.76766265933333</v>
      </c>
      <c r="Q117">
        <f t="shared" si="10"/>
        <v>312.15492095069055</v>
      </c>
      <c r="R117">
        <f t="shared" si="11"/>
        <v>0.96711956327594051</v>
      </c>
      <c r="S117" t="s">
        <v>156</v>
      </c>
      <c r="T117" t="s">
        <v>162</v>
      </c>
    </row>
    <row r="118" spans="1:20" x14ac:dyDescent="0.55000000000000004">
      <c r="A118" t="s">
        <v>6</v>
      </c>
      <c r="B118">
        <v>130274</v>
      </c>
      <c r="C118">
        <v>130347</v>
      </c>
      <c r="D118" t="s">
        <v>125</v>
      </c>
      <c r="E118">
        <v>97.927591847100004</v>
      </c>
      <c r="F118" t="s">
        <v>8</v>
      </c>
      <c r="G118">
        <v>130274</v>
      </c>
      <c r="H118">
        <v>130347</v>
      </c>
      <c r="I118" s="1" t="s">
        <v>149</v>
      </c>
      <c r="J118" s="1" t="s">
        <v>153</v>
      </c>
      <c r="K118">
        <v>73</v>
      </c>
      <c r="L118" s="1" t="s">
        <v>152</v>
      </c>
      <c r="M118">
        <v>124.43545090400001</v>
      </c>
      <c r="N118">
        <v>16.356898808299999</v>
      </c>
      <c r="O118">
        <v>152.990425829</v>
      </c>
      <c r="P118">
        <f t="shared" si="9"/>
        <v>97.927591847100004</v>
      </c>
      <c r="Q118">
        <f t="shared" si="10"/>
        <v>58.845447971016689</v>
      </c>
      <c r="R118">
        <f t="shared" si="11"/>
        <v>0.60090774072026076</v>
      </c>
      <c r="S118" t="s">
        <v>156</v>
      </c>
      <c r="T118" t="s">
        <v>162</v>
      </c>
    </row>
    <row r="119" spans="1:20" x14ac:dyDescent="0.55000000000000004">
      <c r="A119" t="s">
        <v>6</v>
      </c>
      <c r="B119">
        <v>130580</v>
      </c>
      <c r="C119">
        <v>130700</v>
      </c>
      <c r="D119" t="s">
        <v>126</v>
      </c>
      <c r="E119">
        <v>16227.593881633335</v>
      </c>
      <c r="F119" t="s">
        <v>8</v>
      </c>
      <c r="G119">
        <v>130580</v>
      </c>
      <c r="H119">
        <v>130700</v>
      </c>
      <c r="I119" s="1" t="s">
        <v>149</v>
      </c>
      <c r="J119" s="1" t="s">
        <v>153</v>
      </c>
      <c r="K119">
        <v>120</v>
      </c>
      <c r="L119" s="1" t="s">
        <v>152</v>
      </c>
      <c r="M119">
        <v>18132.1844504</v>
      </c>
      <c r="N119">
        <v>18698.547898100001</v>
      </c>
      <c r="O119">
        <v>11852.0492964</v>
      </c>
      <c r="P119">
        <f t="shared" si="9"/>
        <v>16227.593881633335</v>
      </c>
      <c r="Q119">
        <f t="shared" si="10"/>
        <v>3102.6047875665404</v>
      </c>
      <c r="R119">
        <f t="shared" si="11"/>
        <v>0.19119314977916232</v>
      </c>
      <c r="S119" t="s">
        <v>158</v>
      </c>
      <c r="T119" t="s">
        <v>162</v>
      </c>
    </row>
    <row r="120" spans="1:20" x14ac:dyDescent="0.55000000000000004">
      <c r="A120" t="s">
        <v>6</v>
      </c>
      <c r="B120">
        <v>130948</v>
      </c>
      <c r="C120">
        <v>131050</v>
      </c>
      <c r="D120" t="s">
        <v>127</v>
      </c>
      <c r="E120">
        <v>18277.759400093331</v>
      </c>
      <c r="F120" t="s">
        <v>8</v>
      </c>
      <c r="G120">
        <v>130948</v>
      </c>
      <c r="H120">
        <v>131050</v>
      </c>
      <c r="I120" s="1" t="s">
        <v>149</v>
      </c>
      <c r="J120" s="1" t="s">
        <v>153</v>
      </c>
      <c r="K120">
        <v>102</v>
      </c>
      <c r="L120" s="1" t="s">
        <v>152</v>
      </c>
      <c r="M120">
        <v>30767.370275099998</v>
      </c>
      <c r="N120">
        <v>17966.409632999999</v>
      </c>
      <c r="O120">
        <v>6099.4982921800001</v>
      </c>
      <c r="P120">
        <f t="shared" si="9"/>
        <v>18277.759400093331</v>
      </c>
      <c r="Q120">
        <f t="shared" si="10"/>
        <v>10073.022752200859</v>
      </c>
      <c r="R120">
        <f t="shared" si="11"/>
        <v>0.55110818190053557</v>
      </c>
      <c r="S120" t="s">
        <v>158</v>
      </c>
      <c r="T120" t="s">
        <v>162</v>
      </c>
    </row>
    <row r="121" spans="1:20" x14ac:dyDescent="0.55000000000000004">
      <c r="A121" t="s">
        <v>6</v>
      </c>
      <c r="B121">
        <v>131149</v>
      </c>
      <c r="C121">
        <v>133958</v>
      </c>
      <c r="D121" t="s">
        <v>128</v>
      </c>
      <c r="E121">
        <v>86546.769400566671</v>
      </c>
      <c r="F121" t="s">
        <v>8</v>
      </c>
      <c r="G121">
        <v>131149</v>
      </c>
      <c r="H121">
        <v>133958</v>
      </c>
      <c r="I121" s="1" t="s">
        <v>149</v>
      </c>
      <c r="J121" s="1" t="s">
        <v>153</v>
      </c>
      <c r="K121">
        <v>2809</v>
      </c>
      <c r="L121" s="1" t="s">
        <v>152</v>
      </c>
      <c r="M121">
        <v>86126.083891799994</v>
      </c>
      <c r="N121">
        <v>87247.600222499997</v>
      </c>
      <c r="O121">
        <v>86266.624087400007</v>
      </c>
      <c r="P121">
        <f t="shared" si="9"/>
        <v>86546.769400566671</v>
      </c>
      <c r="Q121">
        <f t="shared" si="10"/>
        <v>498.87257382597829</v>
      </c>
      <c r="R121">
        <f t="shared" si="11"/>
        <v>5.7641963678278195E-3</v>
      </c>
      <c r="S121" t="s">
        <v>158</v>
      </c>
      <c r="T121" t="s">
        <v>162</v>
      </c>
    </row>
    <row r="122" spans="1:20" x14ac:dyDescent="0.55000000000000004">
      <c r="A122" t="s">
        <v>6</v>
      </c>
      <c r="B122">
        <v>134111</v>
      </c>
      <c r="C122">
        <v>134984</v>
      </c>
      <c r="D122" t="s">
        <v>129</v>
      </c>
      <c r="E122">
        <v>1274.6752642913334</v>
      </c>
      <c r="F122" t="s">
        <v>8</v>
      </c>
      <c r="G122">
        <v>134111</v>
      </c>
      <c r="H122">
        <v>134984</v>
      </c>
      <c r="I122" s="1" t="s">
        <v>149</v>
      </c>
      <c r="J122" s="1" t="s">
        <v>153</v>
      </c>
      <c r="K122">
        <v>873</v>
      </c>
      <c r="L122" s="1" t="s">
        <v>152</v>
      </c>
      <c r="M122">
        <v>377.83238888199998</v>
      </c>
      <c r="N122">
        <v>924.60508865199995</v>
      </c>
      <c r="O122">
        <v>2521.58831534</v>
      </c>
      <c r="P122">
        <f t="shared" si="9"/>
        <v>1274.6752642913334</v>
      </c>
      <c r="Q122">
        <f t="shared" si="10"/>
        <v>909.51789938775255</v>
      </c>
      <c r="R122">
        <f t="shared" si="11"/>
        <v>0.71352910413100923</v>
      </c>
      <c r="S122" t="s">
        <v>156</v>
      </c>
      <c r="T122" t="s">
        <v>162</v>
      </c>
    </row>
    <row r="123" spans="1:20" x14ac:dyDescent="0.55000000000000004">
      <c r="A123" t="s">
        <v>6</v>
      </c>
      <c r="B123">
        <v>135048</v>
      </c>
      <c r="C123">
        <v>135848</v>
      </c>
      <c r="D123" t="s">
        <v>130</v>
      </c>
      <c r="E123">
        <v>1053.4350665526667</v>
      </c>
      <c r="F123" t="s">
        <v>8</v>
      </c>
      <c r="G123">
        <v>135048</v>
      </c>
      <c r="H123">
        <v>135848</v>
      </c>
      <c r="I123" s="1" t="s">
        <v>149</v>
      </c>
      <c r="J123" s="1" t="s">
        <v>153</v>
      </c>
      <c r="K123">
        <v>800</v>
      </c>
      <c r="L123" s="1" t="s">
        <v>152</v>
      </c>
      <c r="M123">
        <v>592.51071179099995</v>
      </c>
      <c r="N123">
        <v>729.49212919700005</v>
      </c>
      <c r="O123">
        <v>1838.3023586700001</v>
      </c>
      <c r="P123">
        <f t="shared" si="9"/>
        <v>1053.4350665526667</v>
      </c>
      <c r="Q123">
        <f t="shared" si="10"/>
        <v>557.7953488842395</v>
      </c>
      <c r="R123">
        <f t="shared" si="11"/>
        <v>0.52950140601414319</v>
      </c>
      <c r="S123" t="s">
        <v>156</v>
      </c>
      <c r="T123" t="s">
        <v>162</v>
      </c>
    </row>
    <row r="124" spans="1:20" x14ac:dyDescent="0.55000000000000004">
      <c r="A124" t="s">
        <v>6</v>
      </c>
      <c r="B124">
        <v>136147</v>
      </c>
      <c r="C124">
        <v>137637</v>
      </c>
      <c r="D124" t="s">
        <v>131</v>
      </c>
      <c r="E124">
        <v>82827.982366199998</v>
      </c>
      <c r="F124" t="s">
        <v>8</v>
      </c>
      <c r="G124">
        <v>136147</v>
      </c>
      <c r="H124">
        <v>137637</v>
      </c>
      <c r="I124" s="1" t="s">
        <v>149</v>
      </c>
      <c r="J124" s="1" t="s">
        <v>153</v>
      </c>
      <c r="K124">
        <v>1490</v>
      </c>
      <c r="L124" s="1" t="s">
        <v>152</v>
      </c>
      <c r="M124">
        <v>90643.186973799995</v>
      </c>
      <c r="N124">
        <v>94065.513474399995</v>
      </c>
      <c r="O124">
        <v>63775.246650399997</v>
      </c>
      <c r="P124">
        <f t="shared" si="9"/>
        <v>82827.982366199998</v>
      </c>
      <c r="Q124">
        <f t="shared" si="10"/>
        <v>13544.571689088052</v>
      </c>
      <c r="R124">
        <f t="shared" si="11"/>
        <v>0.16352651968756937</v>
      </c>
      <c r="S124" t="s">
        <v>158</v>
      </c>
      <c r="T124" t="s">
        <v>162</v>
      </c>
    </row>
    <row r="125" spans="1:20" x14ac:dyDescent="0.55000000000000004">
      <c r="A125" t="s">
        <v>6</v>
      </c>
      <c r="B125">
        <v>137869</v>
      </c>
      <c r="C125">
        <v>137940</v>
      </c>
      <c r="D125" t="s">
        <v>132</v>
      </c>
      <c r="E125">
        <v>411.68568003533329</v>
      </c>
      <c r="F125" t="s">
        <v>8</v>
      </c>
      <c r="G125">
        <v>137869</v>
      </c>
      <c r="H125">
        <v>137940</v>
      </c>
      <c r="I125" s="1" t="s">
        <v>149</v>
      </c>
      <c r="J125" s="1" t="s">
        <v>153</v>
      </c>
      <c r="K125">
        <v>71</v>
      </c>
      <c r="L125" s="1" t="s">
        <v>152</v>
      </c>
      <c r="M125">
        <v>220.988438417</v>
      </c>
      <c r="N125">
        <v>154.161851445</v>
      </c>
      <c r="O125">
        <v>859.90675024400002</v>
      </c>
      <c r="P125">
        <f t="shared" si="9"/>
        <v>411.68568003533329</v>
      </c>
      <c r="Q125">
        <f t="shared" si="10"/>
        <v>318.11218567860976</v>
      </c>
      <c r="R125">
        <f t="shared" si="11"/>
        <v>0.77270646297754997</v>
      </c>
      <c r="S125" t="s">
        <v>156</v>
      </c>
      <c r="T125" t="s">
        <v>162</v>
      </c>
    </row>
    <row r="126" spans="1:20" x14ac:dyDescent="0.55000000000000004">
      <c r="A126" t="s">
        <v>6</v>
      </c>
      <c r="B126">
        <v>139855</v>
      </c>
      <c r="C126">
        <v>140650</v>
      </c>
      <c r="D126" t="s">
        <v>133</v>
      </c>
      <c r="E126">
        <v>226.74006857166668</v>
      </c>
      <c r="F126" t="s">
        <v>15</v>
      </c>
      <c r="G126">
        <v>139855</v>
      </c>
      <c r="H126">
        <v>140650</v>
      </c>
      <c r="I126" s="1" t="s">
        <v>149</v>
      </c>
      <c r="J126" s="1" t="s">
        <v>153</v>
      </c>
      <c r="K126">
        <v>795</v>
      </c>
      <c r="L126" s="1" t="s">
        <v>152</v>
      </c>
      <c r="M126">
        <v>207.302976699</v>
      </c>
      <c r="N126">
        <v>172.09892221000001</v>
      </c>
      <c r="O126">
        <v>300.81830680600001</v>
      </c>
      <c r="P126">
        <f t="shared" si="9"/>
        <v>226.74006857166668</v>
      </c>
      <c r="Q126">
        <f t="shared" si="10"/>
        <v>54.317096130304471</v>
      </c>
      <c r="R126">
        <f t="shared" si="11"/>
        <v>0.23955667153349317</v>
      </c>
      <c r="S126" t="s">
        <v>157</v>
      </c>
      <c r="T126" t="s">
        <v>161</v>
      </c>
    </row>
    <row r="127" spans="1:20" x14ac:dyDescent="0.55000000000000004">
      <c r="A127" t="s">
        <v>6</v>
      </c>
      <c r="B127">
        <v>140704</v>
      </c>
      <c r="C127">
        <v>141171</v>
      </c>
      <c r="D127" t="s">
        <v>134</v>
      </c>
      <c r="E127">
        <v>771.36995957300007</v>
      </c>
      <c r="F127" t="s">
        <v>15</v>
      </c>
      <c r="G127">
        <v>140704</v>
      </c>
      <c r="H127">
        <v>141171</v>
      </c>
      <c r="I127" s="1" t="s">
        <v>149</v>
      </c>
      <c r="J127" s="1" t="s">
        <v>153</v>
      </c>
      <c r="K127">
        <v>467</v>
      </c>
      <c r="L127" s="1" t="s">
        <v>152</v>
      </c>
      <c r="M127">
        <v>921.03481024500002</v>
      </c>
      <c r="N127">
        <v>527.35237191199997</v>
      </c>
      <c r="O127">
        <v>865.72269656200001</v>
      </c>
      <c r="P127">
        <f t="shared" si="9"/>
        <v>771.36995957300007</v>
      </c>
      <c r="Q127">
        <f t="shared" si="10"/>
        <v>174.01780521149806</v>
      </c>
      <c r="R127">
        <f t="shared" si="11"/>
        <v>0.22559577677594217</v>
      </c>
      <c r="S127" t="s">
        <v>157</v>
      </c>
      <c r="T127" t="s">
        <v>162</v>
      </c>
    </row>
    <row r="128" spans="1:20" x14ac:dyDescent="0.55000000000000004">
      <c r="A128" t="s">
        <v>6</v>
      </c>
      <c r="B128">
        <v>141854</v>
      </c>
      <c r="C128">
        <v>143708</v>
      </c>
      <c r="D128" t="s">
        <v>135</v>
      </c>
      <c r="E128">
        <v>142.03554791486667</v>
      </c>
      <c r="F128" t="s">
        <v>15</v>
      </c>
      <c r="G128">
        <v>141854</v>
      </c>
      <c r="H128">
        <v>143708</v>
      </c>
      <c r="I128" s="1" t="s">
        <v>149</v>
      </c>
      <c r="J128" s="1" t="s">
        <v>153</v>
      </c>
      <c r="K128">
        <v>1854</v>
      </c>
      <c r="L128" s="1" t="s">
        <v>152</v>
      </c>
      <c r="M128">
        <v>77.693054297399996</v>
      </c>
      <c r="N128">
        <v>77.177683185199996</v>
      </c>
      <c r="O128">
        <v>271.23590626200001</v>
      </c>
      <c r="P128">
        <f t="shared" si="9"/>
        <v>142.03554791486667</v>
      </c>
      <c r="Q128">
        <f t="shared" si="10"/>
        <v>91.358691794547141</v>
      </c>
      <c r="R128">
        <f t="shared" si="11"/>
        <v>0.64321004942583637</v>
      </c>
      <c r="S128" t="s">
        <v>157</v>
      </c>
      <c r="T128" t="s">
        <v>161</v>
      </c>
    </row>
    <row r="129" spans="1:20" x14ac:dyDescent="0.55000000000000004">
      <c r="A129" t="s">
        <v>6</v>
      </c>
      <c r="B129">
        <v>144293</v>
      </c>
      <c r="C129">
        <v>144373</v>
      </c>
      <c r="D129" t="s">
        <v>136</v>
      </c>
      <c r="E129">
        <v>265.51970661166666</v>
      </c>
      <c r="F129" t="s">
        <v>15</v>
      </c>
      <c r="G129">
        <v>144293</v>
      </c>
      <c r="H129">
        <v>144373</v>
      </c>
      <c r="I129" s="1" t="s">
        <v>149</v>
      </c>
      <c r="J129" s="1" t="s">
        <v>153</v>
      </c>
      <c r="K129">
        <v>80</v>
      </c>
      <c r="L129" s="1" t="s">
        <v>152</v>
      </c>
      <c r="M129">
        <v>126.819117009</v>
      </c>
      <c r="N129">
        <v>113.18633206600001</v>
      </c>
      <c r="O129">
        <v>556.55367076000005</v>
      </c>
      <c r="P129">
        <f t="shared" si="9"/>
        <v>265.51970661166666</v>
      </c>
      <c r="Q129">
        <f t="shared" si="10"/>
        <v>205.86733498743888</v>
      </c>
      <c r="R129">
        <f t="shared" si="11"/>
        <v>0.77533730966541103</v>
      </c>
      <c r="S129" t="s">
        <v>156</v>
      </c>
      <c r="T129" t="s">
        <v>162</v>
      </c>
    </row>
    <row r="130" spans="1:20" x14ac:dyDescent="0.55000000000000004">
      <c r="A130" t="s">
        <v>6</v>
      </c>
      <c r="B130">
        <v>144921</v>
      </c>
      <c r="C130">
        <v>145154</v>
      </c>
      <c r="D130" t="s">
        <v>137</v>
      </c>
      <c r="E130">
        <v>32.874449977099999</v>
      </c>
      <c r="F130" t="s">
        <v>8</v>
      </c>
      <c r="G130">
        <v>144921</v>
      </c>
      <c r="H130">
        <v>145154</v>
      </c>
      <c r="I130" s="1" t="s">
        <v>149</v>
      </c>
      <c r="J130" s="1" t="s">
        <v>153</v>
      </c>
      <c r="K130">
        <v>233</v>
      </c>
      <c r="L130" s="1" t="s">
        <v>152</v>
      </c>
      <c r="M130">
        <v>15.695748586800001</v>
      </c>
      <c r="N130">
        <v>24.769352487300001</v>
      </c>
      <c r="O130">
        <v>58.1582488572</v>
      </c>
      <c r="P130">
        <f t="shared" ref="P130:P161" si="12">AVERAGE(M130:O130)</f>
        <v>32.874449977099999</v>
      </c>
      <c r="Q130">
        <f t="shared" si="10"/>
        <v>18.258065547273475</v>
      </c>
      <c r="R130">
        <f t="shared" ref="R130:R161" si="13">Q130/P130</f>
        <v>0.55538771173333257</v>
      </c>
      <c r="S130" t="s">
        <v>157</v>
      </c>
      <c r="T130" t="s">
        <v>159</v>
      </c>
    </row>
    <row r="131" spans="1:20" x14ac:dyDescent="0.55000000000000004">
      <c r="A131" t="s">
        <v>6</v>
      </c>
      <c r="B131">
        <v>145291</v>
      </c>
      <c r="C131">
        <v>152175</v>
      </c>
      <c r="D131" t="s">
        <v>138</v>
      </c>
      <c r="E131">
        <v>184.30402426646666</v>
      </c>
      <c r="F131" t="s">
        <v>8</v>
      </c>
      <c r="G131">
        <v>145291</v>
      </c>
      <c r="H131">
        <v>152175</v>
      </c>
      <c r="I131" s="1" t="s">
        <v>149</v>
      </c>
      <c r="J131" s="1" t="s">
        <v>153</v>
      </c>
      <c r="K131">
        <v>6884</v>
      </c>
      <c r="L131" s="1" t="s">
        <v>152</v>
      </c>
      <c r="M131">
        <v>82.960332072900002</v>
      </c>
      <c r="N131">
        <v>72.387910298500003</v>
      </c>
      <c r="O131">
        <v>397.56383042800002</v>
      </c>
      <c r="P131">
        <f t="shared" si="12"/>
        <v>184.30402426646666</v>
      </c>
      <c r="Q131">
        <f t="shared" si="10"/>
        <v>150.85921189105431</v>
      </c>
      <c r="R131">
        <f t="shared" si="13"/>
        <v>0.81853455176291834</v>
      </c>
      <c r="S131" t="s">
        <v>157</v>
      </c>
      <c r="T131" t="s">
        <v>161</v>
      </c>
    </row>
    <row r="132" spans="1:20" x14ac:dyDescent="0.55000000000000004">
      <c r="A132" t="s">
        <v>6</v>
      </c>
      <c r="B132">
        <v>152264</v>
      </c>
      <c r="C132">
        <v>152337</v>
      </c>
      <c r="D132" t="s">
        <v>139</v>
      </c>
      <c r="E132">
        <v>127.2744164532</v>
      </c>
      <c r="F132" t="s">
        <v>15</v>
      </c>
      <c r="G132">
        <v>152264</v>
      </c>
      <c r="H132">
        <v>152337</v>
      </c>
      <c r="I132" s="1" t="s">
        <v>149</v>
      </c>
      <c r="J132" s="1" t="s">
        <v>153</v>
      </c>
      <c r="K132">
        <v>73</v>
      </c>
      <c r="L132" s="1" t="s">
        <v>152</v>
      </c>
      <c r="M132">
        <v>113.123137185</v>
      </c>
      <c r="N132">
        <v>50.433771325599999</v>
      </c>
      <c r="O132">
        <v>218.26634084899999</v>
      </c>
      <c r="P132">
        <f t="shared" si="12"/>
        <v>127.2744164532</v>
      </c>
      <c r="Q132">
        <f t="shared" si="10"/>
        <v>69.244190499524507</v>
      </c>
      <c r="R132">
        <f t="shared" si="13"/>
        <v>0.54405427602165624</v>
      </c>
      <c r="S132" t="s">
        <v>156</v>
      </c>
      <c r="T132" t="s">
        <v>162</v>
      </c>
    </row>
    <row r="133" spans="1:20" x14ac:dyDescent="0.55000000000000004">
      <c r="A133" t="s">
        <v>6</v>
      </c>
      <c r="B133">
        <v>152506</v>
      </c>
      <c r="C133">
        <v>152787</v>
      </c>
      <c r="D133" t="s">
        <v>140</v>
      </c>
      <c r="E133">
        <v>242.37001033766668</v>
      </c>
      <c r="F133" t="s">
        <v>15</v>
      </c>
      <c r="G133">
        <v>152506</v>
      </c>
      <c r="H133">
        <v>152787</v>
      </c>
      <c r="I133" s="1" t="s">
        <v>149</v>
      </c>
      <c r="J133" s="1" t="s">
        <v>153</v>
      </c>
      <c r="K133">
        <v>281</v>
      </c>
      <c r="L133" s="1" t="s">
        <v>152</v>
      </c>
      <c r="M133">
        <v>188.921965253</v>
      </c>
      <c r="N133">
        <v>132.79065980999999</v>
      </c>
      <c r="O133">
        <v>405.39740595000001</v>
      </c>
      <c r="P133">
        <f t="shared" si="12"/>
        <v>242.37001033766668</v>
      </c>
      <c r="Q133">
        <f t="shared" si="10"/>
        <v>117.53334180219966</v>
      </c>
      <c r="R133">
        <f t="shared" si="13"/>
        <v>0.48493351812979568</v>
      </c>
      <c r="S133" t="s">
        <v>157</v>
      </c>
      <c r="T133" t="s">
        <v>162</v>
      </c>
    </row>
    <row r="134" spans="1:20" x14ac:dyDescent="0.55000000000000004">
      <c r="A134" t="s">
        <v>6</v>
      </c>
      <c r="B134">
        <v>152806</v>
      </c>
      <c r="C134">
        <v>154312</v>
      </c>
      <c r="D134" t="s">
        <v>141</v>
      </c>
      <c r="E134">
        <v>270.305450888</v>
      </c>
      <c r="F134" t="s">
        <v>15</v>
      </c>
      <c r="G134">
        <v>152806</v>
      </c>
      <c r="H134">
        <v>154312</v>
      </c>
      <c r="I134" s="1" t="s">
        <v>149</v>
      </c>
      <c r="J134" s="1" t="s">
        <v>153</v>
      </c>
      <c r="K134">
        <v>1506</v>
      </c>
      <c r="L134" s="1" t="s">
        <v>152</v>
      </c>
      <c r="M134">
        <v>254.742745923</v>
      </c>
      <c r="N134">
        <v>149.190629602</v>
      </c>
      <c r="O134">
        <v>406.98297713900001</v>
      </c>
      <c r="P134">
        <f t="shared" si="12"/>
        <v>270.305450888</v>
      </c>
      <c r="Q134">
        <f t="shared" si="10"/>
        <v>105.8170495132364</v>
      </c>
      <c r="R134">
        <f t="shared" si="13"/>
        <v>0.39147212594348041</v>
      </c>
      <c r="S134" t="s">
        <v>157</v>
      </c>
      <c r="T134" t="s">
        <v>161</v>
      </c>
    </row>
  </sheetData>
  <sortState xmlns:xlrd2="http://schemas.microsoft.com/office/spreadsheetml/2017/richdata2" ref="A2:T134">
    <sortCondition ref="G1:G1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2F33-376B-48B3-B98F-6C9E1058E2D4}">
  <dimension ref="A1:AA51"/>
  <sheetViews>
    <sheetView workbookViewId="0">
      <selection activeCell="W15" sqref="W15"/>
    </sheetView>
  </sheetViews>
  <sheetFormatPr defaultRowHeight="14.4" x14ac:dyDescent="0.55000000000000004"/>
  <cols>
    <col min="10" max="10" width="8.734375" style="1"/>
    <col min="12" max="12" width="8.734375" style="1"/>
  </cols>
  <sheetData>
    <row r="1" spans="1:27" s="2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145</v>
      </c>
      <c r="F1" s="2" t="s">
        <v>5</v>
      </c>
      <c r="G1" s="2" t="s">
        <v>1</v>
      </c>
      <c r="H1" s="2" t="s">
        <v>2</v>
      </c>
      <c r="I1" s="2" t="s">
        <v>148</v>
      </c>
      <c r="J1" s="4" t="s">
        <v>150</v>
      </c>
      <c r="K1" s="2" t="s">
        <v>4</v>
      </c>
      <c r="L1" s="4" t="s">
        <v>151</v>
      </c>
      <c r="M1" s="2" t="s">
        <v>154</v>
      </c>
      <c r="N1" s="2" t="s">
        <v>155</v>
      </c>
    </row>
    <row r="2" spans="1:27" x14ac:dyDescent="0.55000000000000004">
      <c r="A2" t="s">
        <v>6</v>
      </c>
      <c r="B2">
        <v>63538</v>
      </c>
      <c r="C2">
        <v>63660</v>
      </c>
      <c r="D2" t="s">
        <v>63</v>
      </c>
      <c r="E2">
        <v>461.21784782633335</v>
      </c>
      <c r="F2" t="s">
        <v>8</v>
      </c>
      <c r="G2">
        <v>63538</v>
      </c>
      <c r="H2">
        <v>63660</v>
      </c>
      <c r="I2" t="s">
        <v>149</v>
      </c>
      <c r="J2" s="1" t="s">
        <v>153</v>
      </c>
      <c r="K2">
        <v>122</v>
      </c>
      <c r="L2" s="1" t="s">
        <v>152</v>
      </c>
      <c r="M2" t="s">
        <v>157</v>
      </c>
      <c r="N2" t="s">
        <v>162</v>
      </c>
      <c r="X2" s="1"/>
      <c r="Y2" s="1"/>
      <c r="AA2" s="1"/>
    </row>
    <row r="3" spans="1:27" x14ac:dyDescent="0.55000000000000004">
      <c r="A3" t="s">
        <v>6</v>
      </c>
      <c r="B3">
        <v>13262</v>
      </c>
      <c r="C3">
        <v>13507</v>
      </c>
      <c r="D3" t="s">
        <v>22</v>
      </c>
      <c r="E3">
        <v>481.39270229366667</v>
      </c>
      <c r="F3" t="s">
        <v>8</v>
      </c>
      <c r="G3">
        <v>13262</v>
      </c>
      <c r="H3">
        <v>13507</v>
      </c>
      <c r="I3" t="s">
        <v>149</v>
      </c>
      <c r="J3" s="1" t="s">
        <v>153</v>
      </c>
      <c r="K3">
        <v>245</v>
      </c>
      <c r="L3" s="1" t="s">
        <v>152</v>
      </c>
      <c r="M3" t="s">
        <v>157</v>
      </c>
      <c r="N3" t="s">
        <v>162</v>
      </c>
      <c r="X3" s="1"/>
      <c r="Y3" s="1"/>
      <c r="AA3" s="1"/>
    </row>
    <row r="4" spans="1:27" x14ac:dyDescent="0.55000000000000004">
      <c r="A4" t="s">
        <v>6</v>
      </c>
      <c r="B4">
        <v>37375</v>
      </c>
      <c r="C4">
        <v>39579</v>
      </c>
      <c r="D4" t="s">
        <v>42</v>
      </c>
      <c r="E4">
        <v>531.38671172366674</v>
      </c>
      <c r="F4" t="s">
        <v>8</v>
      </c>
      <c r="G4">
        <v>37375</v>
      </c>
      <c r="H4">
        <v>39579</v>
      </c>
      <c r="I4" t="s">
        <v>149</v>
      </c>
      <c r="J4" s="1" t="s">
        <v>153</v>
      </c>
      <c r="K4">
        <v>2204</v>
      </c>
      <c r="L4" s="1" t="s">
        <v>152</v>
      </c>
      <c r="M4" t="s">
        <v>157</v>
      </c>
      <c r="N4" t="s">
        <v>162</v>
      </c>
      <c r="X4" s="1"/>
      <c r="Y4" s="1"/>
      <c r="AA4" s="1"/>
    </row>
    <row r="5" spans="1:27" x14ac:dyDescent="0.55000000000000004">
      <c r="A5" t="s">
        <v>6</v>
      </c>
      <c r="B5">
        <v>66490</v>
      </c>
      <c r="C5">
        <v>66563</v>
      </c>
      <c r="D5" t="s">
        <v>70</v>
      </c>
      <c r="E5">
        <v>566.95977298500009</v>
      </c>
      <c r="F5" t="s">
        <v>8</v>
      </c>
      <c r="G5">
        <v>66490</v>
      </c>
      <c r="H5">
        <v>66563</v>
      </c>
      <c r="I5" t="s">
        <v>149</v>
      </c>
      <c r="J5" s="1" t="s">
        <v>153</v>
      </c>
      <c r="K5">
        <v>73</v>
      </c>
      <c r="L5" s="1" t="s">
        <v>152</v>
      </c>
      <c r="M5" t="s">
        <v>156</v>
      </c>
      <c r="N5" t="s">
        <v>162</v>
      </c>
      <c r="X5" s="1"/>
      <c r="Y5" s="1"/>
      <c r="AA5" s="1"/>
    </row>
    <row r="6" spans="1:27" x14ac:dyDescent="0.55000000000000004">
      <c r="A6" t="s">
        <v>6</v>
      </c>
      <c r="B6">
        <v>52660</v>
      </c>
      <c r="C6">
        <v>54156</v>
      </c>
      <c r="D6" t="s">
        <v>56</v>
      </c>
      <c r="E6">
        <v>582.10304742333335</v>
      </c>
      <c r="F6" t="s">
        <v>8</v>
      </c>
      <c r="G6">
        <v>52660</v>
      </c>
      <c r="H6">
        <v>54156</v>
      </c>
      <c r="I6" t="s">
        <v>149</v>
      </c>
      <c r="J6" s="1" t="s">
        <v>153</v>
      </c>
      <c r="K6">
        <v>1496</v>
      </c>
      <c r="L6" s="1" t="s">
        <v>152</v>
      </c>
      <c r="M6" t="s">
        <v>157</v>
      </c>
      <c r="N6" t="s">
        <v>162</v>
      </c>
      <c r="X6" s="1"/>
      <c r="Y6" s="1"/>
      <c r="AA6" s="1"/>
    </row>
    <row r="7" spans="1:27" x14ac:dyDescent="0.55000000000000004">
      <c r="A7" t="s">
        <v>6</v>
      </c>
      <c r="B7">
        <v>46213</v>
      </c>
      <c r="C7">
        <v>46285</v>
      </c>
      <c r="D7" t="s">
        <v>47</v>
      </c>
      <c r="E7">
        <v>608.16104146266673</v>
      </c>
      <c r="F7" t="s">
        <v>8</v>
      </c>
      <c r="G7">
        <v>46213</v>
      </c>
      <c r="H7">
        <v>46285</v>
      </c>
      <c r="I7" t="s">
        <v>149</v>
      </c>
      <c r="J7" s="1" t="s">
        <v>153</v>
      </c>
      <c r="K7">
        <v>72</v>
      </c>
      <c r="L7" s="1" t="s">
        <v>152</v>
      </c>
      <c r="M7" t="s">
        <v>156</v>
      </c>
      <c r="N7" t="s">
        <v>162</v>
      </c>
      <c r="X7" s="1"/>
      <c r="Y7" s="1"/>
      <c r="AA7" s="1"/>
    </row>
    <row r="8" spans="1:27" x14ac:dyDescent="0.55000000000000004">
      <c r="A8" t="s">
        <v>6</v>
      </c>
      <c r="B8">
        <v>76481</v>
      </c>
      <c r="C8">
        <v>77672</v>
      </c>
      <c r="D8" t="s">
        <v>82</v>
      </c>
      <c r="E8">
        <v>623.52202003000002</v>
      </c>
      <c r="F8" t="s">
        <v>15</v>
      </c>
      <c r="G8">
        <v>76481</v>
      </c>
      <c r="H8">
        <v>77672</v>
      </c>
      <c r="I8" t="s">
        <v>149</v>
      </c>
      <c r="J8" s="1" t="s">
        <v>153</v>
      </c>
      <c r="K8">
        <v>1191</v>
      </c>
      <c r="L8" s="1" t="s">
        <v>152</v>
      </c>
      <c r="M8" t="s">
        <v>157</v>
      </c>
      <c r="N8" t="s">
        <v>161</v>
      </c>
      <c r="X8" s="1"/>
      <c r="Y8" s="1"/>
      <c r="AA8" s="1"/>
    </row>
    <row r="9" spans="1:27" x14ac:dyDescent="0.55000000000000004">
      <c r="A9" t="s">
        <v>6</v>
      </c>
      <c r="B9">
        <v>74082</v>
      </c>
      <c r="C9">
        <v>74183</v>
      </c>
      <c r="D9" t="s">
        <v>78</v>
      </c>
      <c r="E9">
        <v>640.97262483466659</v>
      </c>
      <c r="F9" t="s">
        <v>15</v>
      </c>
      <c r="G9">
        <v>74082</v>
      </c>
      <c r="H9">
        <v>74183</v>
      </c>
      <c r="I9" t="s">
        <v>149</v>
      </c>
      <c r="J9" s="1" t="s">
        <v>153</v>
      </c>
      <c r="K9">
        <v>101</v>
      </c>
      <c r="L9" s="1" t="s">
        <v>152</v>
      </c>
      <c r="M9" t="s">
        <v>157</v>
      </c>
      <c r="N9" t="s">
        <v>162</v>
      </c>
      <c r="X9" s="1"/>
      <c r="Y9" s="1"/>
      <c r="AA9" s="1"/>
    </row>
    <row r="10" spans="1:27" x14ac:dyDescent="0.55000000000000004">
      <c r="A10" t="s">
        <v>6</v>
      </c>
      <c r="B10">
        <v>78960</v>
      </c>
      <c r="C10">
        <v>79376</v>
      </c>
      <c r="D10" t="s">
        <v>84</v>
      </c>
      <c r="E10">
        <v>647.34628391066667</v>
      </c>
      <c r="F10" t="s">
        <v>8</v>
      </c>
      <c r="G10">
        <v>78960</v>
      </c>
      <c r="H10">
        <v>79376</v>
      </c>
      <c r="I10" t="s">
        <v>149</v>
      </c>
      <c r="J10" s="1" t="s">
        <v>153</v>
      </c>
      <c r="K10">
        <v>416</v>
      </c>
      <c r="L10" s="1" t="s">
        <v>152</v>
      </c>
      <c r="M10" t="s">
        <v>157</v>
      </c>
      <c r="N10" t="s">
        <v>162</v>
      </c>
      <c r="X10" s="1"/>
      <c r="Y10" s="1"/>
      <c r="AA10" s="1"/>
    </row>
    <row r="11" spans="1:27" x14ac:dyDescent="0.55000000000000004">
      <c r="A11" t="s">
        <v>6</v>
      </c>
      <c r="B11">
        <v>117804</v>
      </c>
      <c r="C11">
        <v>118109</v>
      </c>
      <c r="D11" t="s">
        <v>117</v>
      </c>
      <c r="E11">
        <v>649.17668276699999</v>
      </c>
      <c r="F11" t="s">
        <v>8</v>
      </c>
      <c r="G11">
        <v>117804</v>
      </c>
      <c r="H11">
        <v>118109</v>
      </c>
      <c r="I11" t="s">
        <v>149</v>
      </c>
      <c r="J11" s="1" t="s">
        <v>153</v>
      </c>
      <c r="K11">
        <v>305</v>
      </c>
      <c r="L11" s="1" t="s">
        <v>152</v>
      </c>
      <c r="M11" t="s">
        <v>157</v>
      </c>
      <c r="N11" t="s">
        <v>162</v>
      </c>
      <c r="X11" s="1"/>
      <c r="Y11" s="1"/>
      <c r="AA11" s="1"/>
    </row>
    <row r="12" spans="1:27" x14ac:dyDescent="0.55000000000000004">
      <c r="A12" t="s">
        <v>6</v>
      </c>
      <c r="B12">
        <v>97478</v>
      </c>
      <c r="C12">
        <v>97945</v>
      </c>
      <c r="D12" t="s">
        <v>99</v>
      </c>
      <c r="E12">
        <v>675.85001198833334</v>
      </c>
      <c r="F12" t="s">
        <v>8</v>
      </c>
      <c r="G12">
        <v>97478</v>
      </c>
      <c r="H12">
        <v>97945</v>
      </c>
      <c r="I12" t="s">
        <v>149</v>
      </c>
      <c r="J12" s="1" t="s">
        <v>153</v>
      </c>
      <c r="K12">
        <v>467</v>
      </c>
      <c r="L12" s="1" t="s">
        <v>152</v>
      </c>
      <c r="M12" t="s">
        <v>157</v>
      </c>
      <c r="N12" t="s">
        <v>162</v>
      </c>
      <c r="X12" s="1"/>
      <c r="Y12" s="1"/>
      <c r="AA12" s="1"/>
    </row>
    <row r="13" spans="1:27" x14ac:dyDescent="0.55000000000000004">
      <c r="A13" t="s">
        <v>6</v>
      </c>
      <c r="B13">
        <v>140704</v>
      </c>
      <c r="C13">
        <v>141171</v>
      </c>
      <c r="D13" t="s">
        <v>134</v>
      </c>
      <c r="E13">
        <v>771.36995957300007</v>
      </c>
      <c r="F13" t="s">
        <v>15</v>
      </c>
      <c r="G13">
        <v>140704</v>
      </c>
      <c r="H13">
        <v>141171</v>
      </c>
      <c r="I13" t="s">
        <v>149</v>
      </c>
      <c r="J13" s="1" t="s">
        <v>153</v>
      </c>
      <c r="K13">
        <v>467</v>
      </c>
      <c r="L13" s="1" t="s">
        <v>152</v>
      </c>
      <c r="M13" t="s">
        <v>157</v>
      </c>
      <c r="N13" t="s">
        <v>162</v>
      </c>
      <c r="X13" s="1"/>
      <c r="Y13" s="1"/>
      <c r="AA13" s="1"/>
    </row>
    <row r="14" spans="1:27" x14ac:dyDescent="0.55000000000000004">
      <c r="A14" t="s">
        <v>6</v>
      </c>
      <c r="B14">
        <v>61657</v>
      </c>
      <c r="C14">
        <v>62619</v>
      </c>
      <c r="D14" t="s">
        <v>62</v>
      </c>
      <c r="E14">
        <v>784.8227068363334</v>
      </c>
      <c r="F14" t="s">
        <v>15</v>
      </c>
      <c r="G14">
        <v>61657</v>
      </c>
      <c r="H14">
        <v>62619</v>
      </c>
      <c r="I14" t="s">
        <v>149</v>
      </c>
      <c r="J14" s="1" t="s">
        <v>153</v>
      </c>
      <c r="K14">
        <v>962</v>
      </c>
      <c r="L14" s="1" t="s">
        <v>152</v>
      </c>
      <c r="M14" t="s">
        <v>157</v>
      </c>
      <c r="N14" t="s">
        <v>162</v>
      </c>
      <c r="X14" s="1"/>
      <c r="Y14" s="1"/>
      <c r="AA14" s="1"/>
    </row>
    <row r="15" spans="1:27" x14ac:dyDescent="0.55000000000000004">
      <c r="A15" t="s">
        <v>6</v>
      </c>
      <c r="B15">
        <v>36938</v>
      </c>
      <c r="C15">
        <v>37240</v>
      </c>
      <c r="D15" t="s">
        <v>41</v>
      </c>
      <c r="E15">
        <v>792.58203086800006</v>
      </c>
      <c r="F15" t="s">
        <v>8</v>
      </c>
      <c r="G15">
        <v>36938</v>
      </c>
      <c r="H15">
        <v>37240</v>
      </c>
      <c r="I15" t="s">
        <v>149</v>
      </c>
      <c r="J15" s="1" t="s">
        <v>153</v>
      </c>
      <c r="K15">
        <v>302</v>
      </c>
      <c r="L15" s="1" t="s">
        <v>152</v>
      </c>
      <c r="M15" t="s">
        <v>157</v>
      </c>
      <c r="N15" t="s">
        <v>161</v>
      </c>
      <c r="X15" s="1"/>
      <c r="Y15" s="1"/>
      <c r="AA15" s="1"/>
    </row>
    <row r="16" spans="1:27" x14ac:dyDescent="0.55000000000000004">
      <c r="A16" t="s">
        <v>6</v>
      </c>
      <c r="B16">
        <v>29801</v>
      </c>
      <c r="C16">
        <v>29874</v>
      </c>
      <c r="D16" t="s">
        <v>31</v>
      </c>
      <c r="E16">
        <v>849.94118943333331</v>
      </c>
      <c r="F16" t="s">
        <v>8</v>
      </c>
      <c r="G16">
        <v>29801</v>
      </c>
      <c r="H16">
        <v>29874</v>
      </c>
      <c r="I16" t="s">
        <v>149</v>
      </c>
      <c r="J16" s="1" t="s">
        <v>153</v>
      </c>
      <c r="K16">
        <v>73</v>
      </c>
      <c r="L16" s="1" t="s">
        <v>152</v>
      </c>
      <c r="M16" t="s">
        <v>156</v>
      </c>
      <c r="N16" t="s">
        <v>162</v>
      </c>
      <c r="X16" s="1"/>
      <c r="Y16" s="1"/>
      <c r="AA16" s="1"/>
    </row>
    <row r="17" spans="1:27" x14ac:dyDescent="0.55000000000000004">
      <c r="A17" t="s">
        <v>6</v>
      </c>
      <c r="B17">
        <v>48677</v>
      </c>
      <c r="C17">
        <v>49153</v>
      </c>
      <c r="D17" t="s">
        <v>50</v>
      </c>
      <c r="E17">
        <v>855.63872668466672</v>
      </c>
      <c r="F17" t="s">
        <v>8</v>
      </c>
      <c r="G17">
        <v>48677</v>
      </c>
      <c r="H17">
        <v>49153</v>
      </c>
      <c r="I17" t="s">
        <v>149</v>
      </c>
      <c r="J17" s="1" t="s">
        <v>153</v>
      </c>
      <c r="K17">
        <v>476</v>
      </c>
      <c r="L17" s="1" t="s">
        <v>152</v>
      </c>
      <c r="M17" t="s">
        <v>157</v>
      </c>
      <c r="N17" t="s">
        <v>162</v>
      </c>
      <c r="X17" s="1"/>
      <c r="Y17" s="1"/>
      <c r="AA17" s="1"/>
    </row>
    <row r="18" spans="1:27" x14ac:dyDescent="0.55000000000000004">
      <c r="A18" t="s">
        <v>6</v>
      </c>
      <c r="B18">
        <v>69910</v>
      </c>
      <c r="C18">
        <v>71882</v>
      </c>
      <c r="D18" t="s">
        <v>76</v>
      </c>
      <c r="E18">
        <v>890.41854424300016</v>
      </c>
      <c r="F18" t="s">
        <v>8</v>
      </c>
      <c r="G18">
        <v>69910</v>
      </c>
      <c r="H18">
        <v>71882</v>
      </c>
      <c r="I18" t="s">
        <v>149</v>
      </c>
      <c r="J18" s="1" t="s">
        <v>153</v>
      </c>
      <c r="K18">
        <v>1972</v>
      </c>
      <c r="L18" s="1" t="s">
        <v>152</v>
      </c>
      <c r="M18" t="s">
        <v>157</v>
      </c>
      <c r="N18" t="s">
        <v>161</v>
      </c>
      <c r="X18" s="1"/>
      <c r="Y18" s="1"/>
      <c r="AA18" s="1"/>
    </row>
    <row r="19" spans="1:27" x14ac:dyDescent="0.55000000000000004">
      <c r="A19" t="s">
        <v>6</v>
      </c>
      <c r="B19">
        <v>52265</v>
      </c>
      <c r="C19">
        <v>52663</v>
      </c>
      <c r="D19" t="s">
        <v>55</v>
      </c>
      <c r="E19">
        <v>975.73191791666659</v>
      </c>
      <c r="F19" t="s">
        <v>8</v>
      </c>
      <c r="G19">
        <v>52265</v>
      </c>
      <c r="H19">
        <v>52663</v>
      </c>
      <c r="I19" t="s">
        <v>149</v>
      </c>
      <c r="J19" s="1" t="s">
        <v>153</v>
      </c>
      <c r="K19">
        <v>398</v>
      </c>
      <c r="L19" s="1" t="s">
        <v>152</v>
      </c>
      <c r="M19" t="s">
        <v>157</v>
      </c>
      <c r="N19" t="s">
        <v>162</v>
      </c>
      <c r="X19" s="1"/>
      <c r="Y19" s="1"/>
      <c r="AA19" s="1"/>
    </row>
    <row r="20" spans="1:27" x14ac:dyDescent="0.55000000000000004">
      <c r="A20" t="s">
        <v>6</v>
      </c>
      <c r="B20">
        <v>32711</v>
      </c>
      <c r="C20">
        <v>33772</v>
      </c>
      <c r="D20" t="s">
        <v>35</v>
      </c>
      <c r="E20">
        <v>1013.2216592026667</v>
      </c>
      <c r="F20" t="s">
        <v>15</v>
      </c>
      <c r="G20">
        <v>32711</v>
      </c>
      <c r="H20">
        <v>33772</v>
      </c>
      <c r="I20" t="s">
        <v>149</v>
      </c>
      <c r="J20" s="1" t="s">
        <v>153</v>
      </c>
      <c r="K20">
        <v>1061</v>
      </c>
      <c r="L20" s="1" t="s">
        <v>152</v>
      </c>
      <c r="M20" t="s">
        <v>157</v>
      </c>
      <c r="N20" t="s">
        <v>162</v>
      </c>
      <c r="X20" s="1"/>
      <c r="Y20" s="1"/>
      <c r="AA20" s="1"/>
    </row>
    <row r="21" spans="1:27" x14ac:dyDescent="0.55000000000000004">
      <c r="A21" t="s">
        <v>6</v>
      </c>
      <c r="B21">
        <v>44827</v>
      </c>
      <c r="C21">
        <v>44913</v>
      </c>
      <c r="D21" t="s">
        <v>45</v>
      </c>
      <c r="E21">
        <v>1021.7721249583334</v>
      </c>
      <c r="F21" t="s">
        <v>15</v>
      </c>
      <c r="G21">
        <v>44827</v>
      </c>
      <c r="H21">
        <v>44913</v>
      </c>
      <c r="I21" t="s">
        <v>149</v>
      </c>
      <c r="J21" s="1" t="s">
        <v>153</v>
      </c>
      <c r="K21">
        <v>86</v>
      </c>
      <c r="L21" s="1" t="s">
        <v>152</v>
      </c>
      <c r="M21" t="s">
        <v>156</v>
      </c>
      <c r="N21" t="s">
        <v>162</v>
      </c>
      <c r="X21" s="1"/>
      <c r="Y21" s="1"/>
      <c r="AA21" s="1"/>
    </row>
    <row r="22" spans="1:27" x14ac:dyDescent="0.55000000000000004">
      <c r="A22" t="s">
        <v>6</v>
      </c>
      <c r="B22">
        <v>102801</v>
      </c>
      <c r="C22">
        <v>103601</v>
      </c>
      <c r="D22" t="s">
        <v>103</v>
      </c>
      <c r="E22">
        <v>1046.7057069909999</v>
      </c>
      <c r="F22" t="s">
        <v>15</v>
      </c>
      <c r="G22">
        <v>102801</v>
      </c>
      <c r="H22">
        <v>103601</v>
      </c>
      <c r="I22" t="s">
        <v>149</v>
      </c>
      <c r="J22" s="1" t="s">
        <v>153</v>
      </c>
      <c r="K22">
        <v>800</v>
      </c>
      <c r="L22" s="1" t="s">
        <v>152</v>
      </c>
      <c r="M22" t="s">
        <v>156</v>
      </c>
      <c r="N22" t="s">
        <v>162</v>
      </c>
      <c r="X22" s="1"/>
      <c r="Y22" s="1"/>
      <c r="AA22" s="1"/>
    </row>
    <row r="23" spans="1:27" x14ac:dyDescent="0.55000000000000004">
      <c r="A23" t="s">
        <v>6</v>
      </c>
      <c r="B23">
        <v>135048</v>
      </c>
      <c r="C23">
        <v>135848</v>
      </c>
      <c r="D23" t="s">
        <v>130</v>
      </c>
      <c r="E23">
        <v>1053.4350665526667</v>
      </c>
      <c r="F23" t="s">
        <v>8</v>
      </c>
      <c r="G23">
        <v>135048</v>
      </c>
      <c r="H23">
        <v>135848</v>
      </c>
      <c r="I23" t="s">
        <v>149</v>
      </c>
      <c r="J23" s="1" t="s">
        <v>153</v>
      </c>
      <c r="K23">
        <v>800</v>
      </c>
      <c r="L23" s="1" t="s">
        <v>152</v>
      </c>
      <c r="M23" t="s">
        <v>156</v>
      </c>
      <c r="N23" t="s">
        <v>162</v>
      </c>
      <c r="X23" s="1"/>
      <c r="Y23" s="1"/>
      <c r="AA23" s="1"/>
    </row>
    <row r="24" spans="1:27" x14ac:dyDescent="0.55000000000000004">
      <c r="A24" t="s">
        <v>6</v>
      </c>
      <c r="B24">
        <v>35312</v>
      </c>
      <c r="C24">
        <v>35403</v>
      </c>
      <c r="D24" t="s">
        <v>37</v>
      </c>
      <c r="E24">
        <v>1234.6413282486667</v>
      </c>
      <c r="F24" t="s">
        <v>15</v>
      </c>
      <c r="G24">
        <v>35312</v>
      </c>
      <c r="H24">
        <v>35403</v>
      </c>
      <c r="I24" t="s">
        <v>149</v>
      </c>
      <c r="J24" s="1" t="s">
        <v>153</v>
      </c>
      <c r="K24">
        <v>91</v>
      </c>
      <c r="L24" s="1" t="s">
        <v>152</v>
      </c>
      <c r="M24" t="s">
        <v>156</v>
      </c>
      <c r="N24" t="s">
        <v>162</v>
      </c>
      <c r="X24" s="1"/>
      <c r="Y24" s="1"/>
      <c r="AA24" s="1"/>
    </row>
    <row r="25" spans="1:27" x14ac:dyDescent="0.55000000000000004">
      <c r="A25" t="s">
        <v>6</v>
      </c>
      <c r="B25">
        <v>134111</v>
      </c>
      <c r="C25">
        <v>134984</v>
      </c>
      <c r="D25" t="s">
        <v>129</v>
      </c>
      <c r="E25">
        <v>1274.6752642913334</v>
      </c>
      <c r="F25" t="s">
        <v>8</v>
      </c>
      <c r="G25">
        <v>134111</v>
      </c>
      <c r="H25">
        <v>134984</v>
      </c>
      <c r="I25" t="s">
        <v>149</v>
      </c>
      <c r="J25" s="1" t="s">
        <v>153</v>
      </c>
      <c r="K25">
        <v>873</v>
      </c>
      <c r="L25" s="1" t="s">
        <v>152</v>
      </c>
      <c r="M25" t="s">
        <v>156</v>
      </c>
      <c r="N25" t="s">
        <v>162</v>
      </c>
      <c r="X25" s="1"/>
      <c r="Y25" s="1"/>
      <c r="AA25" s="1"/>
    </row>
    <row r="26" spans="1:27" x14ac:dyDescent="0.55000000000000004">
      <c r="A26" t="s">
        <v>6</v>
      </c>
      <c r="B26">
        <v>33756</v>
      </c>
      <c r="C26">
        <v>35141</v>
      </c>
      <c r="D26" t="s">
        <v>36</v>
      </c>
      <c r="E26">
        <v>1420.2179657166669</v>
      </c>
      <c r="F26" t="s">
        <v>15</v>
      </c>
      <c r="G26">
        <v>33756</v>
      </c>
      <c r="H26">
        <v>35141</v>
      </c>
      <c r="I26" t="s">
        <v>149</v>
      </c>
      <c r="J26" s="1" t="s">
        <v>153</v>
      </c>
      <c r="K26">
        <v>1385</v>
      </c>
      <c r="L26" s="1" t="s">
        <v>152</v>
      </c>
      <c r="M26" t="s">
        <v>157</v>
      </c>
      <c r="N26" t="s">
        <v>162</v>
      </c>
      <c r="X26" s="1"/>
      <c r="Y26" s="1"/>
      <c r="AA26" s="1"/>
    </row>
    <row r="27" spans="1:27" x14ac:dyDescent="0.55000000000000004">
      <c r="A27" t="s">
        <v>6</v>
      </c>
      <c r="B27">
        <v>67488</v>
      </c>
      <c r="C27">
        <v>67688</v>
      </c>
      <c r="D27" t="s">
        <v>72</v>
      </c>
      <c r="E27">
        <v>1443.0405609096667</v>
      </c>
      <c r="F27" t="s">
        <v>15</v>
      </c>
      <c r="G27">
        <v>67488</v>
      </c>
      <c r="H27">
        <v>67688</v>
      </c>
      <c r="I27" t="s">
        <v>149</v>
      </c>
      <c r="J27" s="1" t="s">
        <v>153</v>
      </c>
      <c r="K27">
        <v>200</v>
      </c>
      <c r="L27" s="1" t="s">
        <v>152</v>
      </c>
      <c r="M27" t="s">
        <v>157</v>
      </c>
      <c r="N27" t="s">
        <v>162</v>
      </c>
      <c r="X27" s="1"/>
      <c r="Y27" s="1"/>
      <c r="AA27" s="1"/>
    </row>
    <row r="28" spans="1:27" x14ac:dyDescent="0.55000000000000004">
      <c r="A28" t="s">
        <v>6</v>
      </c>
      <c r="B28">
        <v>103665</v>
      </c>
      <c r="C28">
        <v>104538</v>
      </c>
      <c r="D28" t="s">
        <v>104</v>
      </c>
      <c r="E28">
        <v>1528.2175574986668</v>
      </c>
      <c r="F28" t="s">
        <v>15</v>
      </c>
      <c r="G28">
        <v>103665</v>
      </c>
      <c r="H28">
        <v>104538</v>
      </c>
      <c r="I28" t="s">
        <v>149</v>
      </c>
      <c r="J28" s="1" t="s">
        <v>153</v>
      </c>
      <c r="K28">
        <v>873</v>
      </c>
      <c r="L28" s="1" t="s">
        <v>152</v>
      </c>
      <c r="M28" t="s">
        <v>156</v>
      </c>
      <c r="N28" t="s">
        <v>162</v>
      </c>
      <c r="X28" s="1"/>
      <c r="Y28" s="1"/>
      <c r="AA28" s="1"/>
    </row>
    <row r="29" spans="1:27" x14ac:dyDescent="0.55000000000000004">
      <c r="A29" t="s">
        <v>6</v>
      </c>
      <c r="B29">
        <v>72371</v>
      </c>
      <c r="C29">
        <v>73897</v>
      </c>
      <c r="D29" t="s">
        <v>77</v>
      </c>
      <c r="E29">
        <v>1626.9250687166666</v>
      </c>
      <c r="F29" t="s">
        <v>15</v>
      </c>
      <c r="G29">
        <v>72371</v>
      </c>
      <c r="H29">
        <v>73897</v>
      </c>
      <c r="I29" t="s">
        <v>149</v>
      </c>
      <c r="J29" s="1" t="s">
        <v>153</v>
      </c>
      <c r="K29">
        <v>1526</v>
      </c>
      <c r="L29" s="1" t="s">
        <v>152</v>
      </c>
      <c r="M29" t="s">
        <v>157</v>
      </c>
      <c r="N29" t="s">
        <v>162</v>
      </c>
      <c r="X29" s="1"/>
      <c r="Y29" s="1"/>
      <c r="AA29" s="1"/>
    </row>
    <row r="30" spans="1:27" x14ac:dyDescent="0.55000000000000004">
      <c r="A30" t="s">
        <v>6</v>
      </c>
      <c r="B30">
        <v>118377</v>
      </c>
      <c r="C30">
        <v>118907</v>
      </c>
      <c r="D30" t="s">
        <v>118</v>
      </c>
      <c r="E30">
        <v>1849.5445958846667</v>
      </c>
      <c r="F30" t="s">
        <v>8</v>
      </c>
      <c r="G30">
        <v>118377</v>
      </c>
      <c r="H30">
        <v>118907</v>
      </c>
      <c r="I30" t="s">
        <v>149</v>
      </c>
      <c r="J30" s="1" t="s">
        <v>153</v>
      </c>
      <c r="K30">
        <v>530</v>
      </c>
      <c r="L30" s="1" t="s">
        <v>152</v>
      </c>
      <c r="M30" t="s">
        <v>157</v>
      </c>
      <c r="N30" t="s">
        <v>162</v>
      </c>
      <c r="X30" s="1"/>
      <c r="Y30" s="1"/>
      <c r="AA30" s="1"/>
    </row>
    <row r="31" spans="1:27" x14ac:dyDescent="0.55000000000000004">
      <c r="A31" t="s">
        <v>6</v>
      </c>
      <c r="B31">
        <v>28707</v>
      </c>
      <c r="C31">
        <v>28811</v>
      </c>
      <c r="D31" t="s">
        <v>30</v>
      </c>
      <c r="E31">
        <v>2105.9544111666669</v>
      </c>
      <c r="F31" t="s">
        <v>8</v>
      </c>
      <c r="G31">
        <v>28707</v>
      </c>
      <c r="H31">
        <v>28811</v>
      </c>
      <c r="I31" t="s">
        <v>149</v>
      </c>
      <c r="J31" s="1" t="s">
        <v>153</v>
      </c>
      <c r="K31">
        <v>104</v>
      </c>
      <c r="L31" s="1" t="s">
        <v>152</v>
      </c>
      <c r="M31" t="s">
        <v>157</v>
      </c>
      <c r="N31" t="s">
        <v>162</v>
      </c>
      <c r="X31" s="1"/>
      <c r="Y31" s="1"/>
      <c r="AA31" s="1"/>
    </row>
    <row r="32" spans="1:27" x14ac:dyDescent="0.55000000000000004">
      <c r="A32" t="s">
        <v>6</v>
      </c>
      <c r="B32">
        <v>63942</v>
      </c>
      <c r="C32">
        <v>64061</v>
      </c>
      <c r="D32" t="s">
        <v>65</v>
      </c>
      <c r="E32">
        <v>3758.5367554066665</v>
      </c>
      <c r="F32" t="s">
        <v>8</v>
      </c>
      <c r="G32">
        <v>63942</v>
      </c>
      <c r="H32">
        <v>64061</v>
      </c>
      <c r="I32" t="s">
        <v>149</v>
      </c>
      <c r="J32" s="1" t="s">
        <v>153</v>
      </c>
      <c r="K32">
        <v>119</v>
      </c>
      <c r="L32" s="1" t="s">
        <v>152</v>
      </c>
      <c r="M32" t="s">
        <v>157</v>
      </c>
      <c r="N32" t="s">
        <v>162</v>
      </c>
      <c r="X32" s="1"/>
      <c r="Y32" s="1"/>
      <c r="AA32" s="1"/>
    </row>
    <row r="33" spans="1:27" x14ac:dyDescent="0.55000000000000004">
      <c r="A33" t="s">
        <v>6</v>
      </c>
      <c r="B33">
        <v>7785</v>
      </c>
      <c r="C33">
        <v>7872</v>
      </c>
      <c r="D33" t="s">
        <v>17</v>
      </c>
      <c r="E33">
        <v>3918.7374730899996</v>
      </c>
      <c r="F33" t="s">
        <v>15</v>
      </c>
      <c r="G33">
        <v>7785</v>
      </c>
      <c r="H33">
        <v>7872</v>
      </c>
      <c r="I33" t="s">
        <v>149</v>
      </c>
      <c r="J33" s="1" t="s">
        <v>153</v>
      </c>
      <c r="K33">
        <v>87</v>
      </c>
      <c r="L33" s="1" t="s">
        <v>152</v>
      </c>
      <c r="M33" t="s">
        <v>156</v>
      </c>
      <c r="N33" t="s">
        <v>162</v>
      </c>
      <c r="X33" s="1"/>
      <c r="Y33" s="1"/>
      <c r="AA33" s="1"/>
    </row>
    <row r="34" spans="1:27" x14ac:dyDescent="0.55000000000000004">
      <c r="A34" t="s">
        <v>6</v>
      </c>
      <c r="B34">
        <v>51199</v>
      </c>
      <c r="C34">
        <v>51871</v>
      </c>
      <c r="D34" t="s">
        <v>53</v>
      </c>
      <c r="E34">
        <v>4427.3092719599999</v>
      </c>
      <c r="F34" t="s">
        <v>8</v>
      </c>
      <c r="G34">
        <v>51199</v>
      </c>
      <c r="H34">
        <v>51871</v>
      </c>
      <c r="I34" t="s">
        <v>149</v>
      </c>
      <c r="J34" s="1" t="s">
        <v>153</v>
      </c>
      <c r="K34">
        <v>672</v>
      </c>
      <c r="L34" s="1" t="s">
        <v>152</v>
      </c>
      <c r="M34" t="s">
        <v>156</v>
      </c>
      <c r="N34" t="s">
        <v>162</v>
      </c>
      <c r="X34" s="1"/>
      <c r="Y34" s="1"/>
      <c r="AA34" s="1"/>
    </row>
    <row r="35" spans="1:27" x14ac:dyDescent="0.55000000000000004">
      <c r="A35" t="s">
        <v>6</v>
      </c>
      <c r="B35">
        <v>64071</v>
      </c>
      <c r="C35">
        <v>64322</v>
      </c>
      <c r="D35" t="s">
        <v>66</v>
      </c>
      <c r="E35">
        <v>4880.5089400733332</v>
      </c>
      <c r="F35" t="s">
        <v>8</v>
      </c>
      <c r="G35">
        <v>64071</v>
      </c>
      <c r="H35">
        <v>64322</v>
      </c>
      <c r="I35" t="s">
        <v>149</v>
      </c>
      <c r="J35" s="1" t="s">
        <v>153</v>
      </c>
      <c r="K35">
        <v>251</v>
      </c>
      <c r="L35" s="1" t="s">
        <v>152</v>
      </c>
      <c r="M35" t="s">
        <v>157</v>
      </c>
      <c r="N35" t="s">
        <v>162</v>
      </c>
      <c r="X35" s="1"/>
      <c r="Y35" s="1"/>
      <c r="AA35" s="1"/>
    </row>
    <row r="36" spans="1:27" x14ac:dyDescent="0.55000000000000004">
      <c r="A36" t="s">
        <v>6</v>
      </c>
      <c r="B36">
        <v>63804</v>
      </c>
      <c r="C36">
        <v>63920</v>
      </c>
      <c r="D36" t="s">
        <v>64</v>
      </c>
      <c r="E36">
        <v>5380.4380960233329</v>
      </c>
      <c r="F36" t="s">
        <v>8</v>
      </c>
      <c r="G36">
        <v>63804</v>
      </c>
      <c r="H36">
        <v>63920</v>
      </c>
      <c r="I36" t="s">
        <v>149</v>
      </c>
      <c r="J36" s="1" t="s">
        <v>153</v>
      </c>
      <c r="K36">
        <v>116</v>
      </c>
      <c r="L36" s="1" t="s">
        <v>152</v>
      </c>
      <c r="M36" t="s">
        <v>157</v>
      </c>
      <c r="N36" t="s">
        <v>162</v>
      </c>
      <c r="X36" s="1"/>
      <c r="Y36" s="1"/>
      <c r="AA36" s="1"/>
    </row>
    <row r="37" spans="1:27" x14ac:dyDescent="0.55000000000000004">
      <c r="A37" t="s">
        <v>6</v>
      </c>
      <c r="B37">
        <v>54958</v>
      </c>
      <c r="C37">
        <v>56397</v>
      </c>
      <c r="D37" t="s">
        <v>57</v>
      </c>
      <c r="E37">
        <v>8067.9460149766664</v>
      </c>
      <c r="F37" t="s">
        <v>15</v>
      </c>
      <c r="G37">
        <v>54958</v>
      </c>
      <c r="H37">
        <v>56397</v>
      </c>
      <c r="I37" t="s">
        <v>149</v>
      </c>
      <c r="J37" s="1" t="s">
        <v>153</v>
      </c>
      <c r="K37">
        <v>1439</v>
      </c>
      <c r="L37" s="1" t="s">
        <v>152</v>
      </c>
      <c r="M37" t="s">
        <v>157</v>
      </c>
      <c r="N37" t="s">
        <v>162</v>
      </c>
      <c r="X37" s="1"/>
      <c r="Y37" s="1"/>
      <c r="AA37" s="1"/>
    </row>
    <row r="38" spans="1:27" x14ac:dyDescent="0.55000000000000004">
      <c r="A38" t="s">
        <v>6</v>
      </c>
      <c r="B38">
        <v>30466</v>
      </c>
      <c r="C38">
        <v>30538</v>
      </c>
      <c r="D38" t="s">
        <v>33</v>
      </c>
      <c r="E38">
        <v>9944.4209180266662</v>
      </c>
      <c r="F38" t="s">
        <v>8</v>
      </c>
      <c r="G38">
        <v>30466</v>
      </c>
      <c r="H38">
        <v>30538</v>
      </c>
      <c r="I38" t="s">
        <v>149</v>
      </c>
      <c r="J38" s="1" t="s">
        <v>153</v>
      </c>
      <c r="K38">
        <v>72</v>
      </c>
      <c r="L38" s="1" t="s">
        <v>152</v>
      </c>
      <c r="M38" t="s">
        <v>156</v>
      </c>
      <c r="N38" t="s">
        <v>162</v>
      </c>
      <c r="X38" s="1"/>
      <c r="Y38" s="1"/>
      <c r="AA38" s="1"/>
    </row>
    <row r="39" spans="1:27" x14ac:dyDescent="0.55000000000000004">
      <c r="A39" t="s">
        <v>6</v>
      </c>
      <c r="B39">
        <v>74249</v>
      </c>
      <c r="C39">
        <v>74380</v>
      </c>
      <c r="D39" t="s">
        <v>79</v>
      </c>
      <c r="E39">
        <v>14222.655691026666</v>
      </c>
      <c r="F39" t="s">
        <v>8</v>
      </c>
      <c r="G39">
        <v>74249</v>
      </c>
      <c r="H39">
        <v>74380</v>
      </c>
      <c r="I39" t="s">
        <v>149</v>
      </c>
      <c r="J39" s="1" t="s">
        <v>153</v>
      </c>
      <c r="K39">
        <v>131</v>
      </c>
      <c r="L39" s="1" t="s">
        <v>152</v>
      </c>
      <c r="M39" t="s">
        <v>157</v>
      </c>
      <c r="N39" t="s">
        <v>162</v>
      </c>
      <c r="X39" s="1"/>
      <c r="Y39" s="1"/>
      <c r="AA39" s="1"/>
    </row>
    <row r="40" spans="1:27" x14ac:dyDescent="0.55000000000000004">
      <c r="A40" t="s">
        <v>6</v>
      </c>
      <c r="B40">
        <v>107949</v>
      </c>
      <c r="C40">
        <v>108069</v>
      </c>
      <c r="D40" t="s">
        <v>107</v>
      </c>
      <c r="E40">
        <v>16062.434114066667</v>
      </c>
      <c r="F40" t="s">
        <v>15</v>
      </c>
      <c r="G40">
        <v>107949</v>
      </c>
      <c r="H40">
        <v>108069</v>
      </c>
      <c r="I40" t="s">
        <v>149</v>
      </c>
      <c r="J40" s="1" t="s">
        <v>153</v>
      </c>
      <c r="K40">
        <v>120</v>
      </c>
      <c r="L40" s="1" t="s">
        <v>152</v>
      </c>
      <c r="M40" t="s">
        <v>158</v>
      </c>
      <c r="N40" t="s">
        <v>162</v>
      </c>
      <c r="X40" s="1"/>
      <c r="Y40" s="1"/>
      <c r="AA40" s="1"/>
    </row>
    <row r="41" spans="1:27" x14ac:dyDescent="0.55000000000000004">
      <c r="A41" t="s">
        <v>6</v>
      </c>
      <c r="B41">
        <v>130580</v>
      </c>
      <c r="C41">
        <v>130700</v>
      </c>
      <c r="D41" t="s">
        <v>126</v>
      </c>
      <c r="E41">
        <v>16227.593881633335</v>
      </c>
      <c r="F41" t="s">
        <v>8</v>
      </c>
      <c r="G41">
        <v>130580</v>
      </c>
      <c r="H41">
        <v>130700</v>
      </c>
      <c r="I41" t="s">
        <v>149</v>
      </c>
      <c r="J41" s="1" t="s">
        <v>153</v>
      </c>
      <c r="K41">
        <v>120</v>
      </c>
      <c r="L41" s="1" t="s">
        <v>152</v>
      </c>
      <c r="M41" t="s">
        <v>158</v>
      </c>
      <c r="N41" t="s">
        <v>162</v>
      </c>
      <c r="X41" s="1"/>
      <c r="Y41" s="1"/>
      <c r="AA41" s="1"/>
    </row>
    <row r="42" spans="1:27" x14ac:dyDescent="0.55000000000000004">
      <c r="A42" t="s">
        <v>6</v>
      </c>
      <c r="B42">
        <v>130948</v>
      </c>
      <c r="C42">
        <v>131050</v>
      </c>
      <c r="D42" t="s">
        <v>127</v>
      </c>
      <c r="E42">
        <v>18277.759400093331</v>
      </c>
      <c r="F42" t="s">
        <v>8</v>
      </c>
      <c r="G42">
        <v>130948</v>
      </c>
      <c r="H42">
        <v>131050</v>
      </c>
      <c r="I42" t="s">
        <v>149</v>
      </c>
      <c r="J42" s="1" t="s">
        <v>153</v>
      </c>
      <c r="K42">
        <v>102</v>
      </c>
      <c r="L42" s="1" t="s">
        <v>152</v>
      </c>
      <c r="M42" t="s">
        <v>158</v>
      </c>
      <c r="N42" t="s">
        <v>162</v>
      </c>
      <c r="X42" s="1"/>
      <c r="Y42" s="1"/>
      <c r="AA42" s="1"/>
    </row>
    <row r="43" spans="1:27" x14ac:dyDescent="0.55000000000000004">
      <c r="A43" t="s">
        <v>6</v>
      </c>
      <c r="B43">
        <v>107599</v>
      </c>
      <c r="C43">
        <v>107701</v>
      </c>
      <c r="D43" t="s">
        <v>106</v>
      </c>
      <c r="E43">
        <v>19086.9289407</v>
      </c>
      <c r="F43" t="s">
        <v>15</v>
      </c>
      <c r="G43">
        <v>107599</v>
      </c>
      <c r="H43">
        <v>107701</v>
      </c>
      <c r="I43" t="s">
        <v>149</v>
      </c>
      <c r="J43" s="1" t="s">
        <v>153</v>
      </c>
      <c r="K43">
        <v>102</v>
      </c>
      <c r="L43" s="1" t="s">
        <v>152</v>
      </c>
      <c r="M43" t="s">
        <v>158</v>
      </c>
      <c r="N43" t="s">
        <v>162</v>
      </c>
      <c r="X43" s="1"/>
      <c r="Y43" s="1"/>
      <c r="AA43" s="1"/>
    </row>
    <row r="44" spans="1:27" x14ac:dyDescent="0.55000000000000004">
      <c r="A44" t="s">
        <v>6</v>
      </c>
      <c r="B44">
        <v>46894</v>
      </c>
      <c r="C44">
        <v>47490</v>
      </c>
      <c r="D44" t="s">
        <v>48</v>
      </c>
      <c r="E44">
        <v>20455.888410933334</v>
      </c>
      <c r="F44" t="s">
        <v>15</v>
      </c>
      <c r="G44">
        <v>46894</v>
      </c>
      <c r="H44">
        <v>47490</v>
      </c>
      <c r="I44" t="s">
        <v>149</v>
      </c>
      <c r="J44" s="1" t="s">
        <v>153</v>
      </c>
      <c r="K44">
        <v>596</v>
      </c>
      <c r="L44" s="1" t="s">
        <v>152</v>
      </c>
      <c r="M44" t="s">
        <v>156</v>
      </c>
      <c r="N44" t="s">
        <v>162</v>
      </c>
      <c r="X44" s="1"/>
      <c r="Y44" s="1"/>
      <c r="AA44" s="1"/>
    </row>
    <row r="45" spans="1:27" x14ac:dyDescent="0.55000000000000004">
      <c r="A45" t="s">
        <v>6</v>
      </c>
      <c r="B45">
        <v>8646</v>
      </c>
      <c r="C45">
        <v>9431</v>
      </c>
      <c r="D45" t="s">
        <v>18</v>
      </c>
      <c r="E45">
        <v>24993.997961533332</v>
      </c>
      <c r="F45" t="s">
        <v>15</v>
      </c>
      <c r="G45">
        <v>8646</v>
      </c>
      <c r="H45">
        <v>9431</v>
      </c>
      <c r="I45" t="s">
        <v>149</v>
      </c>
      <c r="J45" s="1" t="s">
        <v>153</v>
      </c>
      <c r="K45">
        <v>785</v>
      </c>
      <c r="L45" s="1" t="s">
        <v>152</v>
      </c>
      <c r="M45" t="s">
        <v>156</v>
      </c>
      <c r="N45" t="s">
        <v>162</v>
      </c>
      <c r="X45" s="1"/>
      <c r="Y45" s="1"/>
      <c r="AA45" s="1"/>
    </row>
    <row r="46" spans="1:27" x14ac:dyDescent="0.55000000000000004">
      <c r="A46" t="s">
        <v>6</v>
      </c>
      <c r="B46">
        <v>383</v>
      </c>
      <c r="C46">
        <v>1444</v>
      </c>
      <c r="D46" t="s">
        <v>9</v>
      </c>
      <c r="E46">
        <v>54590.667350033335</v>
      </c>
      <c r="F46" t="s">
        <v>8</v>
      </c>
      <c r="G46">
        <v>383</v>
      </c>
      <c r="H46">
        <v>1444</v>
      </c>
      <c r="I46" t="s">
        <v>149</v>
      </c>
      <c r="J46" s="1" t="s">
        <v>153</v>
      </c>
      <c r="K46">
        <v>1061</v>
      </c>
      <c r="L46" s="1" t="s">
        <v>152</v>
      </c>
      <c r="M46" t="s">
        <v>157</v>
      </c>
      <c r="N46" t="s">
        <v>162</v>
      </c>
      <c r="X46" s="1"/>
      <c r="Y46" s="1"/>
      <c r="AA46" s="1"/>
    </row>
    <row r="47" spans="1:27" x14ac:dyDescent="0.55000000000000004">
      <c r="A47" t="s">
        <v>6</v>
      </c>
      <c r="B47">
        <v>101012</v>
      </c>
      <c r="C47">
        <v>102502</v>
      </c>
      <c r="D47" t="s">
        <v>102</v>
      </c>
      <c r="E47">
        <v>82767.963089900004</v>
      </c>
      <c r="F47" t="s">
        <v>15</v>
      </c>
      <c r="G47">
        <v>101012</v>
      </c>
      <c r="H47">
        <v>102502</v>
      </c>
      <c r="I47" t="s">
        <v>149</v>
      </c>
      <c r="J47" s="1" t="s">
        <v>153</v>
      </c>
      <c r="K47">
        <v>1490</v>
      </c>
      <c r="L47" s="1" t="s">
        <v>152</v>
      </c>
      <c r="M47" t="s">
        <v>158</v>
      </c>
      <c r="N47" t="s">
        <v>162</v>
      </c>
      <c r="X47" s="1"/>
      <c r="Y47" s="1"/>
      <c r="AA47" s="1"/>
    </row>
    <row r="48" spans="1:27" x14ac:dyDescent="0.55000000000000004">
      <c r="A48" t="s">
        <v>6</v>
      </c>
      <c r="B48">
        <v>136147</v>
      </c>
      <c r="C48">
        <v>137637</v>
      </c>
      <c r="D48" t="s">
        <v>131</v>
      </c>
      <c r="E48">
        <v>82827.982366199998</v>
      </c>
      <c r="F48" t="s">
        <v>8</v>
      </c>
      <c r="G48">
        <v>136147</v>
      </c>
      <c r="H48">
        <v>137637</v>
      </c>
      <c r="I48" t="s">
        <v>149</v>
      </c>
      <c r="J48" s="1" t="s">
        <v>153</v>
      </c>
      <c r="K48">
        <v>1490</v>
      </c>
      <c r="L48" s="1" t="s">
        <v>152</v>
      </c>
      <c r="M48" t="s">
        <v>158</v>
      </c>
      <c r="N48" t="s">
        <v>162</v>
      </c>
      <c r="X48" s="1"/>
      <c r="Y48" s="1"/>
      <c r="AA48" s="1"/>
    </row>
    <row r="49" spans="1:27" x14ac:dyDescent="0.55000000000000004">
      <c r="A49" t="s">
        <v>6</v>
      </c>
      <c r="B49">
        <v>131149</v>
      </c>
      <c r="C49">
        <v>133958</v>
      </c>
      <c r="D49" t="s">
        <v>128</v>
      </c>
      <c r="E49">
        <v>86546.769400566671</v>
      </c>
      <c r="F49" t="s">
        <v>8</v>
      </c>
      <c r="G49">
        <v>131149</v>
      </c>
      <c r="H49">
        <v>133958</v>
      </c>
      <c r="I49" t="s">
        <v>149</v>
      </c>
      <c r="J49" s="1" t="s">
        <v>153</v>
      </c>
      <c r="K49">
        <v>2809</v>
      </c>
      <c r="L49" s="1" t="s">
        <v>152</v>
      </c>
      <c r="M49" t="s">
        <v>158</v>
      </c>
      <c r="N49" t="s">
        <v>162</v>
      </c>
      <c r="X49" s="1"/>
      <c r="Y49" s="1"/>
      <c r="AA49" s="1"/>
    </row>
    <row r="50" spans="1:27" x14ac:dyDescent="0.55000000000000004">
      <c r="A50" t="s">
        <v>6</v>
      </c>
      <c r="B50">
        <v>104691</v>
      </c>
      <c r="C50">
        <v>107500</v>
      </c>
      <c r="D50" t="s">
        <v>105</v>
      </c>
      <c r="E50">
        <v>86552.178832200007</v>
      </c>
      <c r="F50" t="s">
        <v>15</v>
      </c>
      <c r="G50">
        <v>104691</v>
      </c>
      <c r="H50">
        <v>107500</v>
      </c>
      <c r="I50" t="s">
        <v>149</v>
      </c>
      <c r="J50" s="1" t="s">
        <v>153</v>
      </c>
      <c r="K50">
        <v>2809</v>
      </c>
      <c r="L50" s="1" t="s">
        <v>152</v>
      </c>
      <c r="M50" t="s">
        <v>158</v>
      </c>
      <c r="N50" t="s">
        <v>162</v>
      </c>
      <c r="X50" s="1"/>
      <c r="Y50" s="1"/>
      <c r="AA50" s="1"/>
    </row>
    <row r="51" spans="1:27" x14ac:dyDescent="0.55000000000000004">
      <c r="A51" t="s">
        <v>6</v>
      </c>
      <c r="B51">
        <v>66929</v>
      </c>
      <c r="C51">
        <v>67063</v>
      </c>
      <c r="D51" t="s">
        <v>71</v>
      </c>
      <c r="E51">
        <v>113706.13801316667</v>
      </c>
      <c r="F51" t="s">
        <v>15</v>
      </c>
      <c r="G51">
        <v>66929</v>
      </c>
      <c r="H51">
        <v>67063</v>
      </c>
      <c r="I51" t="s">
        <v>149</v>
      </c>
      <c r="J51" s="1" t="s">
        <v>153</v>
      </c>
      <c r="K51">
        <v>134</v>
      </c>
      <c r="L51" s="1" t="s">
        <v>152</v>
      </c>
      <c r="M51" t="s">
        <v>157</v>
      </c>
      <c r="N51" t="s">
        <v>162</v>
      </c>
      <c r="X51" s="1"/>
      <c r="Y51" s="1"/>
      <c r="AA5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AD59-66CA-4663-B516-34EF149280E7}">
  <dimension ref="A1:AG51"/>
  <sheetViews>
    <sheetView workbookViewId="0">
      <selection activeCell="U14" sqref="U14"/>
    </sheetView>
  </sheetViews>
  <sheetFormatPr defaultRowHeight="14.4" x14ac:dyDescent="0.55000000000000004"/>
  <cols>
    <col min="10" max="10" width="8.734375" style="1"/>
    <col min="12" max="12" width="8.734375" style="1"/>
  </cols>
  <sheetData>
    <row r="1" spans="1:26" s="2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145</v>
      </c>
      <c r="F1" s="2" t="s">
        <v>5</v>
      </c>
      <c r="G1" s="2" t="s">
        <v>1</v>
      </c>
      <c r="H1" s="2" t="s">
        <v>2</v>
      </c>
      <c r="I1" s="2" t="s">
        <v>148</v>
      </c>
      <c r="J1" s="4" t="s">
        <v>150</v>
      </c>
      <c r="K1" s="2" t="s">
        <v>4</v>
      </c>
      <c r="L1" s="4" t="s">
        <v>151</v>
      </c>
      <c r="M1" s="2" t="s">
        <v>154</v>
      </c>
      <c r="N1" s="2" t="s">
        <v>155</v>
      </c>
    </row>
    <row r="2" spans="1:26" x14ac:dyDescent="0.55000000000000004">
      <c r="A2" t="s">
        <v>6</v>
      </c>
      <c r="B2">
        <v>144921</v>
      </c>
      <c r="C2">
        <v>145154</v>
      </c>
      <c r="D2" t="s">
        <v>137</v>
      </c>
      <c r="E2">
        <v>32.874449977099999</v>
      </c>
      <c r="F2" t="s">
        <v>8</v>
      </c>
      <c r="G2">
        <v>144921</v>
      </c>
      <c r="H2">
        <v>145154</v>
      </c>
      <c r="I2" t="s">
        <v>149</v>
      </c>
      <c r="J2" s="1" t="s">
        <v>153</v>
      </c>
      <c r="K2">
        <v>233</v>
      </c>
      <c r="L2" s="1" t="s">
        <v>152</v>
      </c>
      <c r="M2" t="s">
        <v>157</v>
      </c>
      <c r="N2" t="s">
        <v>159</v>
      </c>
      <c r="W2" s="1"/>
      <c r="X2" s="1"/>
      <c r="Z2" s="1"/>
    </row>
    <row r="3" spans="1:26" x14ac:dyDescent="0.55000000000000004">
      <c r="A3" t="s">
        <v>6</v>
      </c>
      <c r="B3">
        <v>48175</v>
      </c>
      <c r="C3">
        <v>48247</v>
      </c>
      <c r="D3" t="s">
        <v>49</v>
      </c>
      <c r="E3">
        <v>39.542355093899999</v>
      </c>
      <c r="F3" t="s">
        <v>15</v>
      </c>
      <c r="G3">
        <v>48175</v>
      </c>
      <c r="H3">
        <v>48247</v>
      </c>
      <c r="I3" t="s">
        <v>149</v>
      </c>
      <c r="J3" s="1" t="s">
        <v>153</v>
      </c>
      <c r="K3">
        <v>72</v>
      </c>
      <c r="L3" s="1" t="s">
        <v>152</v>
      </c>
      <c r="M3" t="s">
        <v>156</v>
      </c>
      <c r="N3" t="s">
        <v>162</v>
      </c>
      <c r="W3" s="1"/>
      <c r="X3" s="1"/>
      <c r="Z3" s="1"/>
    </row>
    <row r="4" spans="1:26" x14ac:dyDescent="0.55000000000000004">
      <c r="A4" t="s">
        <v>6</v>
      </c>
      <c r="B4">
        <v>93495</v>
      </c>
      <c r="C4">
        <v>93728</v>
      </c>
      <c r="D4" t="s">
        <v>96</v>
      </c>
      <c r="E4">
        <v>41.079670427166661</v>
      </c>
      <c r="F4" t="s">
        <v>15</v>
      </c>
      <c r="G4">
        <v>93495</v>
      </c>
      <c r="H4">
        <v>93728</v>
      </c>
      <c r="I4" t="s">
        <v>149</v>
      </c>
      <c r="J4" s="1" t="s">
        <v>153</v>
      </c>
      <c r="K4">
        <v>233</v>
      </c>
      <c r="L4" s="1" t="s">
        <v>152</v>
      </c>
      <c r="M4" t="s">
        <v>157</v>
      </c>
      <c r="N4" t="s">
        <v>159</v>
      </c>
      <c r="W4" s="1"/>
      <c r="X4" s="1"/>
      <c r="Z4" s="1"/>
    </row>
    <row r="5" spans="1:26" x14ac:dyDescent="0.55000000000000004">
      <c r="A5" t="s">
        <v>6</v>
      </c>
      <c r="B5">
        <v>15938</v>
      </c>
      <c r="C5">
        <v>20068</v>
      </c>
      <c r="D5" t="s">
        <v>25</v>
      </c>
      <c r="E5">
        <v>54.409380736966661</v>
      </c>
      <c r="F5" t="s">
        <v>8</v>
      </c>
      <c r="G5">
        <v>15938</v>
      </c>
      <c r="H5">
        <v>20068</v>
      </c>
      <c r="I5" t="s">
        <v>149</v>
      </c>
      <c r="J5" s="1" t="s">
        <v>153</v>
      </c>
      <c r="K5">
        <v>4130</v>
      </c>
      <c r="L5" s="1" t="s">
        <v>152</v>
      </c>
      <c r="M5" t="s">
        <v>157</v>
      </c>
      <c r="N5" t="s">
        <v>159</v>
      </c>
      <c r="W5" s="1"/>
      <c r="X5" s="1"/>
      <c r="Z5" s="1"/>
    </row>
    <row r="6" spans="1:26" x14ac:dyDescent="0.55000000000000004">
      <c r="A6" t="s">
        <v>6</v>
      </c>
      <c r="B6">
        <v>6616</v>
      </c>
      <c r="C6">
        <v>6687</v>
      </c>
      <c r="D6" t="s">
        <v>13</v>
      </c>
      <c r="E6">
        <v>56.261320645633333</v>
      </c>
      <c r="F6" t="s">
        <v>8</v>
      </c>
      <c r="G6">
        <v>6616</v>
      </c>
      <c r="H6">
        <v>6687</v>
      </c>
      <c r="I6" t="s">
        <v>149</v>
      </c>
      <c r="J6" s="1" t="s">
        <v>153</v>
      </c>
      <c r="K6">
        <v>71</v>
      </c>
      <c r="L6" s="1" t="s">
        <v>152</v>
      </c>
      <c r="M6" t="s">
        <v>156</v>
      </c>
      <c r="N6" t="s">
        <v>162</v>
      </c>
      <c r="W6" s="1"/>
      <c r="X6" s="1"/>
      <c r="Z6" s="1"/>
    </row>
    <row r="7" spans="1:26" x14ac:dyDescent="0.55000000000000004">
      <c r="A7" t="s">
        <v>6</v>
      </c>
      <c r="B7">
        <v>119244</v>
      </c>
      <c r="C7">
        <v>119762</v>
      </c>
      <c r="D7" t="s">
        <v>119</v>
      </c>
      <c r="E7">
        <v>60.32598503436666</v>
      </c>
      <c r="F7" t="s">
        <v>8</v>
      </c>
      <c r="G7">
        <v>119244</v>
      </c>
      <c r="H7">
        <v>119762</v>
      </c>
      <c r="I7" t="s">
        <v>149</v>
      </c>
      <c r="J7" s="1" t="s">
        <v>153</v>
      </c>
      <c r="K7">
        <v>518</v>
      </c>
      <c r="L7" s="1" t="s">
        <v>152</v>
      </c>
      <c r="M7" t="s">
        <v>157</v>
      </c>
      <c r="N7" t="s">
        <v>162</v>
      </c>
      <c r="W7" s="1"/>
      <c r="X7" s="1"/>
      <c r="Z7" s="1"/>
    </row>
    <row r="8" spans="1:26" x14ac:dyDescent="0.55000000000000004">
      <c r="A8" t="s">
        <v>6</v>
      </c>
      <c r="B8">
        <v>114270</v>
      </c>
      <c r="C8">
        <v>114349</v>
      </c>
      <c r="D8" t="s">
        <v>113</v>
      </c>
      <c r="E8">
        <v>61.430255509666665</v>
      </c>
      <c r="F8" t="s">
        <v>15</v>
      </c>
      <c r="G8">
        <v>114270</v>
      </c>
      <c r="H8">
        <v>114349</v>
      </c>
      <c r="I8" t="s">
        <v>149</v>
      </c>
      <c r="J8" s="1" t="s">
        <v>153</v>
      </c>
      <c r="K8">
        <v>79</v>
      </c>
      <c r="L8" s="1" t="s">
        <v>152</v>
      </c>
      <c r="M8" t="s">
        <v>156</v>
      </c>
      <c r="N8" t="s">
        <v>162</v>
      </c>
      <c r="W8" s="1"/>
      <c r="X8" s="1"/>
      <c r="Z8" s="1"/>
    </row>
    <row r="9" spans="1:26" x14ac:dyDescent="0.55000000000000004">
      <c r="A9" t="s">
        <v>6</v>
      </c>
      <c r="B9">
        <v>122011</v>
      </c>
      <c r="C9">
        <v>123192</v>
      </c>
      <c r="D9" t="s">
        <v>121</v>
      </c>
      <c r="E9">
        <v>68.659934564466667</v>
      </c>
      <c r="F9" t="s">
        <v>8</v>
      </c>
      <c r="G9">
        <v>122011</v>
      </c>
      <c r="H9">
        <v>123192</v>
      </c>
      <c r="I9" t="s">
        <v>149</v>
      </c>
      <c r="J9" s="1" t="s">
        <v>153</v>
      </c>
      <c r="K9">
        <v>1181</v>
      </c>
      <c r="L9" s="1" t="s">
        <v>152</v>
      </c>
      <c r="M9" t="s">
        <v>157</v>
      </c>
      <c r="N9" t="s">
        <v>161</v>
      </c>
      <c r="W9" s="1"/>
      <c r="X9" s="1"/>
      <c r="Z9" s="1"/>
    </row>
    <row r="10" spans="1:26" x14ac:dyDescent="0.55000000000000004">
      <c r="A10" t="s">
        <v>6</v>
      </c>
      <c r="B10">
        <v>15013</v>
      </c>
      <c r="C10">
        <v>15723</v>
      </c>
      <c r="D10" t="s">
        <v>24</v>
      </c>
      <c r="E10">
        <v>75.695291528433344</v>
      </c>
      <c r="F10" t="s">
        <v>8</v>
      </c>
      <c r="G10">
        <v>15013</v>
      </c>
      <c r="H10">
        <v>15723</v>
      </c>
      <c r="I10" t="s">
        <v>149</v>
      </c>
      <c r="J10" s="1" t="s">
        <v>153</v>
      </c>
      <c r="K10">
        <v>710</v>
      </c>
      <c r="L10" s="1" t="s">
        <v>152</v>
      </c>
      <c r="M10" t="s">
        <v>157</v>
      </c>
      <c r="N10" t="s">
        <v>162</v>
      </c>
      <c r="W10" s="1"/>
      <c r="X10" s="1"/>
      <c r="Z10" s="1"/>
    </row>
    <row r="11" spans="1:26" x14ac:dyDescent="0.55000000000000004">
      <c r="A11" t="s">
        <v>6</v>
      </c>
      <c r="B11">
        <v>65712</v>
      </c>
      <c r="C11">
        <v>65807</v>
      </c>
      <c r="D11" t="s">
        <v>67</v>
      </c>
      <c r="E11">
        <v>84.004980477633339</v>
      </c>
      <c r="F11" t="s">
        <v>15</v>
      </c>
      <c r="G11">
        <v>65712</v>
      </c>
      <c r="H11">
        <v>65807</v>
      </c>
      <c r="I11" t="s">
        <v>149</v>
      </c>
      <c r="J11" s="1" t="s">
        <v>153</v>
      </c>
      <c r="K11">
        <v>95</v>
      </c>
      <c r="L11" s="1" t="s">
        <v>152</v>
      </c>
      <c r="M11" t="s">
        <v>157</v>
      </c>
      <c r="N11" t="s">
        <v>159</v>
      </c>
      <c r="W11" s="1"/>
      <c r="X11" s="1"/>
      <c r="Z11" s="1"/>
    </row>
    <row r="12" spans="1:26" x14ac:dyDescent="0.55000000000000004">
      <c r="A12" t="s">
        <v>6</v>
      </c>
      <c r="B12">
        <v>114461</v>
      </c>
      <c r="C12">
        <v>115447</v>
      </c>
      <c r="D12" t="s">
        <v>114</v>
      </c>
      <c r="E12">
        <v>91.427595677166664</v>
      </c>
      <c r="F12" t="s">
        <v>15</v>
      </c>
      <c r="G12">
        <v>114461</v>
      </c>
      <c r="H12">
        <v>115447</v>
      </c>
      <c r="I12" t="s">
        <v>149</v>
      </c>
      <c r="J12" s="1" t="s">
        <v>153</v>
      </c>
      <c r="K12">
        <v>986</v>
      </c>
      <c r="L12" s="1" t="s">
        <v>152</v>
      </c>
      <c r="M12" t="s">
        <v>157</v>
      </c>
      <c r="N12" t="s">
        <v>162</v>
      </c>
      <c r="W12" s="1"/>
      <c r="X12" s="1"/>
      <c r="Z12" s="1"/>
    </row>
    <row r="13" spans="1:26" x14ac:dyDescent="0.55000000000000004">
      <c r="A13" t="s">
        <v>6</v>
      </c>
      <c r="B13">
        <v>130274</v>
      </c>
      <c r="C13">
        <v>130347</v>
      </c>
      <c r="D13" t="s">
        <v>125</v>
      </c>
      <c r="E13">
        <v>97.927591847100004</v>
      </c>
      <c r="F13" t="s">
        <v>8</v>
      </c>
      <c r="G13">
        <v>130274</v>
      </c>
      <c r="H13">
        <v>130347</v>
      </c>
      <c r="I13" t="s">
        <v>149</v>
      </c>
      <c r="J13" s="1" t="s">
        <v>153</v>
      </c>
      <c r="K13">
        <v>73</v>
      </c>
      <c r="L13" s="1" t="s">
        <v>152</v>
      </c>
      <c r="M13" t="s">
        <v>156</v>
      </c>
      <c r="N13" t="s">
        <v>162</v>
      </c>
      <c r="W13" s="1"/>
      <c r="X13" s="1"/>
      <c r="Z13" s="1"/>
    </row>
    <row r="14" spans="1:26" x14ac:dyDescent="0.55000000000000004">
      <c r="A14" t="s">
        <v>6</v>
      </c>
      <c r="B14">
        <v>69611</v>
      </c>
      <c r="C14">
        <v>69724</v>
      </c>
      <c r="D14" t="s">
        <v>75</v>
      </c>
      <c r="E14">
        <v>99.642600896499985</v>
      </c>
      <c r="F14" t="s">
        <v>8</v>
      </c>
      <c r="G14">
        <v>69611</v>
      </c>
      <c r="H14">
        <v>69724</v>
      </c>
      <c r="I14" t="s">
        <v>149</v>
      </c>
      <c r="J14" s="1" t="s">
        <v>153</v>
      </c>
      <c r="K14">
        <v>113</v>
      </c>
      <c r="L14" s="1" t="s">
        <v>152</v>
      </c>
      <c r="M14" t="s">
        <v>157</v>
      </c>
      <c r="N14" t="s">
        <v>161</v>
      </c>
      <c r="W14" s="1"/>
      <c r="X14" s="1"/>
      <c r="Z14" s="1"/>
    </row>
    <row r="15" spans="1:26" x14ac:dyDescent="0.55000000000000004">
      <c r="A15" t="s">
        <v>6</v>
      </c>
      <c r="B15">
        <v>108302</v>
      </c>
      <c r="C15">
        <v>108375</v>
      </c>
      <c r="D15" t="s">
        <v>108</v>
      </c>
      <c r="E15">
        <v>100.04040947538668</v>
      </c>
      <c r="F15" t="s">
        <v>15</v>
      </c>
      <c r="G15">
        <v>108302</v>
      </c>
      <c r="H15">
        <v>108375</v>
      </c>
      <c r="I15" t="s">
        <v>149</v>
      </c>
      <c r="J15" s="1" t="s">
        <v>153</v>
      </c>
      <c r="K15">
        <v>73</v>
      </c>
      <c r="L15" s="1" t="s">
        <v>152</v>
      </c>
      <c r="M15" t="s">
        <v>156</v>
      </c>
      <c r="N15" t="s">
        <v>162</v>
      </c>
      <c r="W15" s="1"/>
      <c r="X15" s="1"/>
      <c r="Z15" s="1"/>
    </row>
    <row r="16" spans="1:26" x14ac:dyDescent="0.55000000000000004">
      <c r="A16" t="s">
        <v>6</v>
      </c>
      <c r="B16">
        <v>80068</v>
      </c>
      <c r="C16">
        <v>80472</v>
      </c>
      <c r="D16" t="s">
        <v>86</v>
      </c>
      <c r="E16">
        <v>108.05946545826667</v>
      </c>
      <c r="F16" t="s">
        <v>8</v>
      </c>
      <c r="G16">
        <v>80068</v>
      </c>
      <c r="H16">
        <v>80472</v>
      </c>
      <c r="I16" t="s">
        <v>149</v>
      </c>
      <c r="J16" s="1" t="s">
        <v>153</v>
      </c>
      <c r="K16">
        <v>404</v>
      </c>
      <c r="L16" s="1" t="s">
        <v>152</v>
      </c>
      <c r="M16" t="s">
        <v>157</v>
      </c>
      <c r="N16" t="s">
        <v>162</v>
      </c>
      <c r="W16" s="1"/>
      <c r="X16" s="1"/>
      <c r="Z16" s="1"/>
    </row>
    <row r="17" spans="1:33" x14ac:dyDescent="0.55000000000000004">
      <c r="A17" t="s">
        <v>6</v>
      </c>
      <c r="B17">
        <v>66229</v>
      </c>
      <c r="C17">
        <v>66302</v>
      </c>
      <c r="D17" t="s">
        <v>69</v>
      </c>
      <c r="E17">
        <v>111.25473840956666</v>
      </c>
      <c r="F17" t="s">
        <v>8</v>
      </c>
      <c r="G17">
        <v>66229</v>
      </c>
      <c r="H17">
        <v>66302</v>
      </c>
      <c r="I17" t="s">
        <v>149</v>
      </c>
      <c r="J17" s="1" t="s">
        <v>153</v>
      </c>
      <c r="K17">
        <v>73</v>
      </c>
      <c r="L17" s="1" t="s">
        <v>152</v>
      </c>
      <c r="M17" t="s">
        <v>156</v>
      </c>
      <c r="N17" t="s">
        <v>162</v>
      </c>
      <c r="W17" s="1"/>
      <c r="X17" s="1"/>
      <c r="Z17" s="1"/>
    </row>
    <row r="18" spans="1:33" x14ac:dyDescent="0.55000000000000004">
      <c r="A18" t="s">
        <v>6</v>
      </c>
      <c r="B18">
        <v>57075</v>
      </c>
      <c r="C18">
        <v>58541</v>
      </c>
      <c r="D18" t="s">
        <v>58</v>
      </c>
      <c r="E18">
        <v>115.06893764146666</v>
      </c>
      <c r="F18" t="s">
        <v>15</v>
      </c>
      <c r="G18">
        <v>57075</v>
      </c>
      <c r="H18">
        <v>58541</v>
      </c>
      <c r="I18" t="s">
        <v>149</v>
      </c>
      <c r="J18" s="1" t="s">
        <v>153</v>
      </c>
      <c r="K18">
        <v>1466</v>
      </c>
      <c r="L18" s="1" t="s">
        <v>152</v>
      </c>
      <c r="M18" t="s">
        <v>157</v>
      </c>
      <c r="N18" t="s">
        <v>159</v>
      </c>
      <c r="W18" s="1"/>
      <c r="X18" s="1"/>
      <c r="Z18" s="1"/>
    </row>
    <row r="19" spans="1:33" x14ac:dyDescent="0.55000000000000004">
      <c r="A19" t="s">
        <v>6</v>
      </c>
      <c r="B19">
        <v>23111</v>
      </c>
      <c r="C19">
        <v>26329</v>
      </c>
      <c r="D19" t="s">
        <v>27</v>
      </c>
      <c r="E19">
        <v>117.95170681236668</v>
      </c>
      <c r="F19" t="s">
        <v>8</v>
      </c>
      <c r="G19">
        <v>23111</v>
      </c>
      <c r="H19">
        <v>26329</v>
      </c>
      <c r="I19" t="s">
        <v>149</v>
      </c>
      <c r="J19" s="1" t="s">
        <v>153</v>
      </c>
      <c r="K19">
        <v>3218</v>
      </c>
      <c r="L19" s="1" t="s">
        <v>152</v>
      </c>
      <c r="M19" t="s">
        <v>157</v>
      </c>
      <c r="N19" t="s">
        <v>159</v>
      </c>
      <c r="W19" s="1"/>
      <c r="X19" s="1"/>
      <c r="Z19" s="1"/>
    </row>
    <row r="20" spans="1:33" x14ac:dyDescent="0.55000000000000004">
      <c r="A20" t="s">
        <v>6</v>
      </c>
      <c r="B20">
        <v>7017</v>
      </c>
      <c r="C20">
        <v>7202</v>
      </c>
      <c r="D20" t="s">
        <v>14</v>
      </c>
      <c r="E20">
        <v>124.94276716040001</v>
      </c>
      <c r="F20" t="s">
        <v>15</v>
      </c>
      <c r="G20">
        <v>7017</v>
      </c>
      <c r="H20">
        <v>7202</v>
      </c>
      <c r="I20" t="s">
        <v>149</v>
      </c>
      <c r="J20" s="1" t="s">
        <v>153</v>
      </c>
      <c r="K20">
        <v>185</v>
      </c>
      <c r="L20" s="1" t="s">
        <v>152</v>
      </c>
      <c r="M20" t="s">
        <v>157</v>
      </c>
      <c r="N20" t="s">
        <v>162</v>
      </c>
      <c r="W20" s="1"/>
      <c r="X20" s="1"/>
      <c r="Z20" s="1"/>
    </row>
    <row r="21" spans="1:33" x14ac:dyDescent="0.55000000000000004">
      <c r="A21" t="s">
        <v>6</v>
      </c>
      <c r="B21">
        <v>4</v>
      </c>
      <c r="C21">
        <v>76</v>
      </c>
      <c r="D21" t="s">
        <v>7</v>
      </c>
      <c r="E21">
        <v>125.50814078613332</v>
      </c>
      <c r="F21" t="s">
        <v>8</v>
      </c>
      <c r="G21">
        <v>4</v>
      </c>
      <c r="H21">
        <v>76</v>
      </c>
      <c r="I21" t="s">
        <v>149</v>
      </c>
      <c r="J21" s="1" t="s">
        <v>153</v>
      </c>
      <c r="K21">
        <v>72</v>
      </c>
      <c r="L21" s="1" t="s">
        <v>152</v>
      </c>
      <c r="M21" s="3" t="s">
        <v>156</v>
      </c>
      <c r="N21" t="s">
        <v>162</v>
      </c>
      <c r="W21" s="1"/>
      <c r="X21" s="1"/>
      <c r="Z21" s="1"/>
      <c r="AG21" s="3"/>
    </row>
    <row r="22" spans="1:33" x14ac:dyDescent="0.55000000000000004">
      <c r="A22" t="s">
        <v>6</v>
      </c>
      <c r="B22">
        <v>152264</v>
      </c>
      <c r="C22">
        <v>152337</v>
      </c>
      <c r="D22" t="s">
        <v>139</v>
      </c>
      <c r="E22">
        <v>127.2744164532</v>
      </c>
      <c r="F22" t="s">
        <v>15</v>
      </c>
      <c r="G22">
        <v>152264</v>
      </c>
      <c r="H22">
        <v>152337</v>
      </c>
      <c r="I22" t="s">
        <v>149</v>
      </c>
      <c r="J22" s="1" t="s">
        <v>153</v>
      </c>
      <c r="K22">
        <v>73</v>
      </c>
      <c r="L22" s="1" t="s">
        <v>152</v>
      </c>
      <c r="M22" t="s">
        <v>156</v>
      </c>
      <c r="N22" t="s">
        <v>162</v>
      </c>
      <c r="W22" s="1"/>
      <c r="X22" s="1"/>
      <c r="Z22" s="1"/>
    </row>
    <row r="23" spans="1:33" x14ac:dyDescent="0.55000000000000004">
      <c r="A23" t="s">
        <v>6</v>
      </c>
      <c r="B23">
        <v>5084</v>
      </c>
      <c r="C23">
        <v>6188</v>
      </c>
      <c r="D23" t="s">
        <v>12</v>
      </c>
      <c r="E23">
        <v>127.90565450143333</v>
      </c>
      <c r="F23" t="s">
        <v>8</v>
      </c>
      <c r="G23">
        <v>5084</v>
      </c>
      <c r="H23">
        <v>6188</v>
      </c>
      <c r="I23" t="s">
        <v>149</v>
      </c>
      <c r="J23" s="1" t="s">
        <v>153</v>
      </c>
      <c r="K23">
        <v>1104</v>
      </c>
      <c r="L23" s="1" t="s">
        <v>152</v>
      </c>
      <c r="M23" t="s">
        <v>157</v>
      </c>
      <c r="N23" t="s">
        <v>161</v>
      </c>
      <c r="W23" s="1"/>
      <c r="X23" s="1"/>
      <c r="Z23" s="1"/>
    </row>
    <row r="24" spans="1:33" x14ac:dyDescent="0.55000000000000004">
      <c r="A24" t="s">
        <v>6</v>
      </c>
      <c r="B24">
        <v>49257</v>
      </c>
      <c r="C24">
        <v>49934</v>
      </c>
      <c r="D24" t="s">
        <v>51</v>
      </c>
      <c r="E24">
        <v>132.64361718466668</v>
      </c>
      <c r="F24" t="s">
        <v>8</v>
      </c>
      <c r="G24">
        <v>49257</v>
      </c>
      <c r="H24">
        <v>49934</v>
      </c>
      <c r="I24" t="s">
        <v>149</v>
      </c>
      <c r="J24" s="1" t="s">
        <v>153</v>
      </c>
      <c r="K24">
        <v>677</v>
      </c>
      <c r="L24" s="1" t="s">
        <v>152</v>
      </c>
      <c r="M24" t="s">
        <v>157</v>
      </c>
      <c r="N24" t="s">
        <v>162</v>
      </c>
      <c r="W24" s="1"/>
      <c r="X24" s="1"/>
      <c r="Z24" s="1"/>
    </row>
    <row r="25" spans="1:33" x14ac:dyDescent="0.55000000000000004">
      <c r="A25" t="s">
        <v>6</v>
      </c>
      <c r="B25">
        <v>20251</v>
      </c>
      <c r="C25">
        <v>23084</v>
      </c>
      <c r="D25" t="s">
        <v>26</v>
      </c>
      <c r="E25">
        <v>140.03268658189998</v>
      </c>
      <c r="F25" t="s">
        <v>8</v>
      </c>
      <c r="G25">
        <v>20251</v>
      </c>
      <c r="H25">
        <v>23084</v>
      </c>
      <c r="I25" t="s">
        <v>149</v>
      </c>
      <c r="J25" s="1" t="s">
        <v>153</v>
      </c>
      <c r="K25">
        <v>2833</v>
      </c>
      <c r="L25" s="1" t="s">
        <v>152</v>
      </c>
      <c r="M25" t="s">
        <v>157</v>
      </c>
      <c r="N25" t="s">
        <v>159</v>
      </c>
      <c r="W25" s="1"/>
      <c r="X25" s="1"/>
      <c r="Z25" s="1"/>
    </row>
    <row r="26" spans="1:33" x14ac:dyDescent="0.55000000000000004">
      <c r="A26" t="s">
        <v>6</v>
      </c>
      <c r="B26">
        <v>82826</v>
      </c>
      <c r="C26">
        <v>83482</v>
      </c>
      <c r="D26" t="s">
        <v>89</v>
      </c>
      <c r="E26">
        <v>140.13071834366667</v>
      </c>
      <c r="F26" t="s">
        <v>8</v>
      </c>
      <c r="G26">
        <v>82826</v>
      </c>
      <c r="H26">
        <v>83482</v>
      </c>
      <c r="I26" t="s">
        <v>149</v>
      </c>
      <c r="J26" s="1" t="s">
        <v>153</v>
      </c>
      <c r="K26">
        <v>656</v>
      </c>
      <c r="L26" s="1" t="s">
        <v>152</v>
      </c>
      <c r="M26" t="s">
        <v>157</v>
      </c>
      <c r="N26" t="s">
        <v>161</v>
      </c>
      <c r="W26" s="1"/>
      <c r="X26" s="1"/>
      <c r="Z26" s="1"/>
    </row>
    <row r="27" spans="1:33" x14ac:dyDescent="0.55000000000000004">
      <c r="A27" t="s">
        <v>6</v>
      </c>
      <c r="B27">
        <v>141854</v>
      </c>
      <c r="C27">
        <v>143708</v>
      </c>
      <c r="D27" t="s">
        <v>135</v>
      </c>
      <c r="E27">
        <v>142.03554791486667</v>
      </c>
      <c r="F27" t="s">
        <v>15</v>
      </c>
      <c r="G27">
        <v>141854</v>
      </c>
      <c r="H27">
        <v>143708</v>
      </c>
      <c r="I27" t="s">
        <v>149</v>
      </c>
      <c r="J27" s="1" t="s">
        <v>153</v>
      </c>
      <c r="K27">
        <v>1854</v>
      </c>
      <c r="L27" s="1" t="s">
        <v>152</v>
      </c>
      <c r="M27" t="s">
        <v>157</v>
      </c>
      <c r="N27" t="s">
        <v>161</v>
      </c>
      <c r="W27" s="1"/>
      <c r="X27" s="1"/>
      <c r="Z27" s="1"/>
    </row>
    <row r="28" spans="1:33" x14ac:dyDescent="0.55000000000000004">
      <c r="A28" t="s">
        <v>6</v>
      </c>
      <c r="B28">
        <v>94941</v>
      </c>
      <c r="C28">
        <v>96795</v>
      </c>
      <c r="D28" t="s">
        <v>98</v>
      </c>
      <c r="E28">
        <v>143.32543181153332</v>
      </c>
      <c r="F28" t="s">
        <v>8</v>
      </c>
      <c r="G28">
        <v>94941</v>
      </c>
      <c r="H28">
        <v>96795</v>
      </c>
      <c r="I28" t="s">
        <v>149</v>
      </c>
      <c r="J28" s="1" t="s">
        <v>153</v>
      </c>
      <c r="K28">
        <v>1854</v>
      </c>
      <c r="L28" s="1" t="s">
        <v>152</v>
      </c>
      <c r="M28" t="s">
        <v>157</v>
      </c>
      <c r="N28" t="s">
        <v>161</v>
      </c>
      <c r="W28" s="1"/>
      <c r="X28" s="1"/>
      <c r="Z28" s="1"/>
    </row>
    <row r="29" spans="1:33" x14ac:dyDescent="0.55000000000000004">
      <c r="A29" t="s">
        <v>6</v>
      </c>
      <c r="B29">
        <v>36490</v>
      </c>
      <c r="C29">
        <v>36560</v>
      </c>
      <c r="D29" t="s">
        <v>39</v>
      </c>
      <c r="E29">
        <v>144.82358009353334</v>
      </c>
      <c r="F29" t="s">
        <v>15</v>
      </c>
      <c r="G29">
        <v>36490</v>
      </c>
      <c r="H29">
        <v>36560</v>
      </c>
      <c r="I29" t="s">
        <v>149</v>
      </c>
      <c r="J29" s="1" t="s">
        <v>153</v>
      </c>
      <c r="K29">
        <v>70</v>
      </c>
      <c r="L29" s="1" t="s">
        <v>152</v>
      </c>
      <c r="M29" t="s">
        <v>156</v>
      </c>
      <c r="N29" t="s">
        <v>162</v>
      </c>
      <c r="W29" s="1"/>
      <c r="X29" s="1"/>
      <c r="Z29" s="1"/>
    </row>
    <row r="30" spans="1:33" x14ac:dyDescent="0.55000000000000004">
      <c r="A30" t="s">
        <v>6</v>
      </c>
      <c r="B30">
        <v>50001</v>
      </c>
      <c r="C30">
        <v>50363</v>
      </c>
      <c r="D30" t="s">
        <v>52</v>
      </c>
      <c r="E30">
        <v>145.44217737720001</v>
      </c>
      <c r="F30" t="s">
        <v>8</v>
      </c>
      <c r="G30">
        <v>50001</v>
      </c>
      <c r="H30">
        <v>50363</v>
      </c>
      <c r="I30" t="s">
        <v>149</v>
      </c>
      <c r="J30" s="1" t="s">
        <v>153</v>
      </c>
      <c r="K30">
        <v>362</v>
      </c>
      <c r="L30" s="1" t="s">
        <v>152</v>
      </c>
      <c r="M30" t="s">
        <v>157</v>
      </c>
      <c r="N30" t="s">
        <v>162</v>
      </c>
      <c r="W30" s="1"/>
      <c r="X30" s="1"/>
      <c r="Z30" s="1"/>
    </row>
    <row r="31" spans="1:33" x14ac:dyDescent="0.55000000000000004">
      <c r="A31" t="s">
        <v>6</v>
      </c>
      <c r="B31">
        <v>42584</v>
      </c>
      <c r="C31">
        <v>43751</v>
      </c>
      <c r="D31" t="s">
        <v>44</v>
      </c>
      <c r="E31">
        <v>146.35120192333332</v>
      </c>
      <c r="F31" t="s">
        <v>8</v>
      </c>
      <c r="G31">
        <v>42584</v>
      </c>
      <c r="H31">
        <v>43751</v>
      </c>
      <c r="I31" t="s">
        <v>149</v>
      </c>
      <c r="J31" s="1" t="s">
        <v>153</v>
      </c>
      <c r="K31">
        <v>1167</v>
      </c>
      <c r="L31" s="1" t="s">
        <v>152</v>
      </c>
      <c r="M31" t="s">
        <v>157</v>
      </c>
      <c r="N31" t="s">
        <v>161</v>
      </c>
      <c r="W31" s="1"/>
      <c r="X31" s="1"/>
      <c r="Z31" s="1"/>
    </row>
    <row r="32" spans="1:33" x14ac:dyDescent="0.55000000000000004">
      <c r="A32" t="s">
        <v>6</v>
      </c>
      <c r="B32">
        <v>117318</v>
      </c>
      <c r="C32">
        <v>117563</v>
      </c>
      <c r="D32" t="s">
        <v>116</v>
      </c>
      <c r="E32">
        <v>146.69812104366667</v>
      </c>
      <c r="F32" t="s">
        <v>8</v>
      </c>
      <c r="G32">
        <v>117318</v>
      </c>
      <c r="H32">
        <v>117563</v>
      </c>
      <c r="I32" t="s">
        <v>149</v>
      </c>
      <c r="J32" s="1" t="s">
        <v>153</v>
      </c>
      <c r="K32">
        <v>245</v>
      </c>
      <c r="L32" s="1" t="s">
        <v>152</v>
      </c>
      <c r="M32" t="s">
        <v>157</v>
      </c>
      <c r="N32" t="s">
        <v>162</v>
      </c>
      <c r="W32" s="1"/>
      <c r="X32" s="1"/>
      <c r="Z32" s="1"/>
    </row>
    <row r="33" spans="1:26" x14ac:dyDescent="0.55000000000000004">
      <c r="A33" t="s">
        <v>6</v>
      </c>
      <c r="B33">
        <v>86312</v>
      </c>
      <c r="C33">
        <v>86385</v>
      </c>
      <c r="D33" t="s">
        <v>94</v>
      </c>
      <c r="E33">
        <v>147.64955511776665</v>
      </c>
      <c r="F33" t="s">
        <v>8</v>
      </c>
      <c r="G33">
        <v>86312</v>
      </c>
      <c r="H33">
        <v>86385</v>
      </c>
      <c r="I33" t="s">
        <v>149</v>
      </c>
      <c r="J33" s="1" t="s">
        <v>153</v>
      </c>
      <c r="K33">
        <v>73</v>
      </c>
      <c r="L33" s="1" t="s">
        <v>152</v>
      </c>
      <c r="M33" t="s">
        <v>156</v>
      </c>
      <c r="N33" t="s">
        <v>162</v>
      </c>
      <c r="W33" s="1"/>
      <c r="X33" s="1"/>
      <c r="Z33" s="1"/>
    </row>
    <row r="34" spans="1:26" x14ac:dyDescent="0.55000000000000004">
      <c r="A34" t="s">
        <v>6</v>
      </c>
      <c r="B34">
        <v>52056</v>
      </c>
      <c r="C34">
        <v>52128</v>
      </c>
      <c r="D34" t="s">
        <v>54</v>
      </c>
      <c r="E34">
        <v>147.69780800613333</v>
      </c>
      <c r="F34" t="s">
        <v>15</v>
      </c>
      <c r="G34">
        <v>52056</v>
      </c>
      <c r="H34">
        <v>52128</v>
      </c>
      <c r="I34" t="s">
        <v>149</v>
      </c>
      <c r="J34" s="1" t="s">
        <v>153</v>
      </c>
      <c r="K34">
        <v>72</v>
      </c>
      <c r="L34" s="1" t="s">
        <v>152</v>
      </c>
      <c r="M34" t="s">
        <v>156</v>
      </c>
      <c r="N34" t="s">
        <v>162</v>
      </c>
      <c r="W34" s="1"/>
      <c r="X34" s="1"/>
      <c r="Z34" s="1"/>
    </row>
    <row r="35" spans="1:26" x14ac:dyDescent="0.55000000000000004">
      <c r="A35" t="s">
        <v>6</v>
      </c>
      <c r="B35">
        <v>83467</v>
      </c>
      <c r="C35">
        <v>83949</v>
      </c>
      <c r="D35" t="s">
        <v>90</v>
      </c>
      <c r="E35">
        <v>148.05958304379999</v>
      </c>
      <c r="F35" t="s">
        <v>8</v>
      </c>
      <c r="G35">
        <v>83467</v>
      </c>
      <c r="H35">
        <v>83949</v>
      </c>
      <c r="I35" t="s">
        <v>149</v>
      </c>
      <c r="J35" s="1" t="s">
        <v>153</v>
      </c>
      <c r="K35">
        <v>482</v>
      </c>
      <c r="L35" s="1" t="s">
        <v>152</v>
      </c>
      <c r="M35" t="s">
        <v>157</v>
      </c>
      <c r="N35" t="s">
        <v>162</v>
      </c>
      <c r="W35" s="1"/>
      <c r="X35" s="1"/>
      <c r="Z35" s="1"/>
    </row>
    <row r="36" spans="1:26" x14ac:dyDescent="0.55000000000000004">
      <c r="A36" t="s">
        <v>6</v>
      </c>
      <c r="B36">
        <v>36704</v>
      </c>
      <c r="C36">
        <v>36777</v>
      </c>
      <c r="D36" t="s">
        <v>40</v>
      </c>
      <c r="E36">
        <v>151.23741233706667</v>
      </c>
      <c r="F36" t="s">
        <v>8</v>
      </c>
      <c r="G36">
        <v>36704</v>
      </c>
      <c r="H36">
        <v>36777</v>
      </c>
      <c r="I36" t="s">
        <v>149</v>
      </c>
      <c r="J36" s="1" t="s">
        <v>153</v>
      </c>
      <c r="K36">
        <v>73</v>
      </c>
      <c r="L36" s="1" t="s">
        <v>152</v>
      </c>
      <c r="M36" t="s">
        <v>156</v>
      </c>
      <c r="N36" t="s">
        <v>162</v>
      </c>
      <c r="W36" s="1"/>
      <c r="X36" s="1"/>
      <c r="Z36" s="1"/>
    </row>
    <row r="37" spans="1:26" x14ac:dyDescent="0.55000000000000004">
      <c r="A37" t="s">
        <v>6</v>
      </c>
      <c r="B37">
        <v>77901</v>
      </c>
      <c r="C37">
        <v>78890</v>
      </c>
      <c r="D37" t="s">
        <v>83</v>
      </c>
      <c r="E37">
        <v>160.47705550499998</v>
      </c>
      <c r="F37" t="s">
        <v>8</v>
      </c>
      <c r="G37">
        <v>77901</v>
      </c>
      <c r="H37">
        <v>78890</v>
      </c>
      <c r="I37" t="s">
        <v>149</v>
      </c>
      <c r="J37" s="1" t="s">
        <v>153</v>
      </c>
      <c r="K37">
        <v>989</v>
      </c>
      <c r="L37" s="1" t="s">
        <v>152</v>
      </c>
      <c r="M37" t="s">
        <v>157</v>
      </c>
      <c r="N37" t="s">
        <v>161</v>
      </c>
      <c r="W37" s="1"/>
      <c r="X37" s="1"/>
      <c r="Z37" s="1"/>
    </row>
    <row r="38" spans="1:26" x14ac:dyDescent="0.55000000000000004">
      <c r="A38" t="s">
        <v>6</v>
      </c>
      <c r="B38">
        <v>123296</v>
      </c>
      <c r="C38">
        <v>123562</v>
      </c>
      <c r="D38" t="s">
        <v>122</v>
      </c>
      <c r="E38">
        <v>170.95328613366667</v>
      </c>
      <c r="F38" t="s">
        <v>8</v>
      </c>
      <c r="G38">
        <v>123296</v>
      </c>
      <c r="H38">
        <v>123562</v>
      </c>
      <c r="I38" t="s">
        <v>149</v>
      </c>
      <c r="J38" s="1" t="s">
        <v>153</v>
      </c>
      <c r="K38">
        <v>266</v>
      </c>
      <c r="L38" s="1" t="s">
        <v>152</v>
      </c>
      <c r="M38" t="s">
        <v>157</v>
      </c>
      <c r="N38" t="s">
        <v>162</v>
      </c>
      <c r="W38" s="1"/>
      <c r="X38" s="1"/>
      <c r="Z38" s="1"/>
    </row>
    <row r="39" spans="1:26" x14ac:dyDescent="0.55000000000000004">
      <c r="A39" t="s">
        <v>6</v>
      </c>
      <c r="B39">
        <v>59772</v>
      </c>
      <c r="C39">
        <v>60326</v>
      </c>
      <c r="D39" t="s">
        <v>60</v>
      </c>
      <c r="E39">
        <v>180.39404793999998</v>
      </c>
      <c r="F39" t="s">
        <v>15</v>
      </c>
      <c r="G39">
        <v>59772</v>
      </c>
      <c r="H39">
        <v>60326</v>
      </c>
      <c r="I39" t="s">
        <v>149</v>
      </c>
      <c r="J39" s="1" t="s">
        <v>153</v>
      </c>
      <c r="K39">
        <v>554</v>
      </c>
      <c r="L39" s="1" t="s">
        <v>152</v>
      </c>
      <c r="M39" t="s">
        <v>157</v>
      </c>
      <c r="N39" t="s">
        <v>162</v>
      </c>
      <c r="W39" s="1"/>
      <c r="X39" s="1"/>
      <c r="Z39" s="1"/>
    </row>
    <row r="40" spans="1:26" x14ac:dyDescent="0.55000000000000004">
      <c r="A40" t="s">
        <v>6</v>
      </c>
      <c r="B40">
        <v>86474</v>
      </c>
      <c r="C40">
        <v>93358</v>
      </c>
      <c r="D40" t="s">
        <v>95</v>
      </c>
      <c r="E40">
        <v>181.79227687153332</v>
      </c>
      <c r="F40" t="s">
        <v>15</v>
      </c>
      <c r="G40">
        <v>86474</v>
      </c>
      <c r="H40">
        <v>93358</v>
      </c>
      <c r="I40" t="s">
        <v>149</v>
      </c>
      <c r="J40" s="1" t="s">
        <v>153</v>
      </c>
      <c r="K40">
        <v>6884</v>
      </c>
      <c r="L40" s="1" t="s">
        <v>152</v>
      </c>
      <c r="M40" t="s">
        <v>157</v>
      </c>
      <c r="N40" t="s">
        <v>161</v>
      </c>
      <c r="W40" s="1"/>
      <c r="X40" s="1"/>
      <c r="Z40" s="1"/>
    </row>
    <row r="41" spans="1:26" x14ac:dyDescent="0.55000000000000004">
      <c r="A41" t="s">
        <v>6</v>
      </c>
      <c r="B41">
        <v>145291</v>
      </c>
      <c r="C41">
        <v>152175</v>
      </c>
      <c r="D41" t="s">
        <v>138</v>
      </c>
      <c r="E41">
        <v>184.30402426646666</v>
      </c>
      <c r="F41" t="s">
        <v>8</v>
      </c>
      <c r="G41">
        <v>145291</v>
      </c>
      <c r="H41">
        <v>152175</v>
      </c>
      <c r="I41" t="s">
        <v>149</v>
      </c>
      <c r="J41" s="1" t="s">
        <v>153</v>
      </c>
      <c r="K41">
        <v>6884</v>
      </c>
      <c r="L41" s="1" t="s">
        <v>152</v>
      </c>
      <c r="M41" t="s">
        <v>157</v>
      </c>
      <c r="N41" t="s">
        <v>161</v>
      </c>
      <c r="W41" s="1"/>
      <c r="X41" s="1"/>
      <c r="Z41" s="1"/>
    </row>
    <row r="42" spans="1:26" x14ac:dyDescent="0.55000000000000004">
      <c r="A42" t="s">
        <v>6</v>
      </c>
      <c r="B42">
        <v>123884</v>
      </c>
      <c r="C42">
        <v>129244</v>
      </c>
      <c r="D42" t="s">
        <v>123</v>
      </c>
      <c r="E42">
        <v>187.23932511833331</v>
      </c>
      <c r="F42" t="s">
        <v>8</v>
      </c>
      <c r="G42">
        <v>123884</v>
      </c>
      <c r="H42">
        <v>129244</v>
      </c>
      <c r="I42" t="s">
        <v>149</v>
      </c>
      <c r="J42" s="1" t="s">
        <v>153</v>
      </c>
      <c r="K42">
        <v>5360</v>
      </c>
      <c r="L42" s="1" t="s">
        <v>152</v>
      </c>
      <c r="M42" t="s">
        <v>157</v>
      </c>
      <c r="N42" t="s">
        <v>161</v>
      </c>
      <c r="W42" s="1"/>
      <c r="X42" s="1"/>
      <c r="Z42" s="1"/>
    </row>
    <row r="43" spans="1:26" x14ac:dyDescent="0.55000000000000004">
      <c r="A43" t="s">
        <v>6</v>
      </c>
      <c r="B43">
        <v>79489</v>
      </c>
      <c r="C43">
        <v>79602</v>
      </c>
      <c r="D43" t="s">
        <v>85</v>
      </c>
      <c r="E43">
        <v>202.56118086166668</v>
      </c>
      <c r="F43" t="s">
        <v>8</v>
      </c>
      <c r="G43">
        <v>79489</v>
      </c>
      <c r="H43">
        <v>79602</v>
      </c>
      <c r="I43" t="s">
        <v>149</v>
      </c>
      <c r="J43" s="1" t="s">
        <v>153</v>
      </c>
      <c r="K43">
        <v>113</v>
      </c>
      <c r="L43" s="1" t="s">
        <v>152</v>
      </c>
      <c r="M43" t="s">
        <v>157</v>
      </c>
      <c r="N43" t="s">
        <v>162</v>
      </c>
      <c r="W43" s="1"/>
      <c r="X43" s="1"/>
      <c r="Z43" s="1"/>
    </row>
    <row r="44" spans="1:26" x14ac:dyDescent="0.55000000000000004">
      <c r="A44" t="s">
        <v>6</v>
      </c>
      <c r="B44">
        <v>84005</v>
      </c>
      <c r="C44">
        <v>84283</v>
      </c>
      <c r="D44" t="s">
        <v>91</v>
      </c>
      <c r="E44">
        <v>205.32062929133335</v>
      </c>
      <c r="F44" t="s">
        <v>8</v>
      </c>
      <c r="G44">
        <v>84005</v>
      </c>
      <c r="H44">
        <v>84283</v>
      </c>
      <c r="I44" t="s">
        <v>149</v>
      </c>
      <c r="J44" s="1" t="s">
        <v>153</v>
      </c>
      <c r="K44">
        <v>278</v>
      </c>
      <c r="L44" s="1" t="s">
        <v>152</v>
      </c>
      <c r="M44" t="s">
        <v>157</v>
      </c>
      <c r="N44" t="s">
        <v>162</v>
      </c>
      <c r="W44" s="1"/>
      <c r="X44" s="1"/>
      <c r="Z44" s="1"/>
    </row>
    <row r="45" spans="1:26" x14ac:dyDescent="0.55000000000000004">
      <c r="A45" t="s">
        <v>6</v>
      </c>
      <c r="B45">
        <v>97999</v>
      </c>
      <c r="C45">
        <v>98793</v>
      </c>
      <c r="D45" t="s">
        <v>100</v>
      </c>
      <c r="E45">
        <v>207.87318966733332</v>
      </c>
      <c r="F45" t="s">
        <v>8</v>
      </c>
      <c r="G45">
        <v>97999</v>
      </c>
      <c r="H45">
        <v>98793</v>
      </c>
      <c r="I45" t="s">
        <v>149</v>
      </c>
      <c r="J45" s="1" t="s">
        <v>153</v>
      </c>
      <c r="K45">
        <v>794</v>
      </c>
      <c r="L45" s="1" t="s">
        <v>152</v>
      </c>
      <c r="M45" t="s">
        <v>157</v>
      </c>
      <c r="N45" t="s">
        <v>161</v>
      </c>
      <c r="W45" s="1"/>
      <c r="X45" s="1"/>
      <c r="Z45" s="1"/>
    </row>
    <row r="46" spans="1:26" x14ac:dyDescent="0.55000000000000004">
      <c r="A46" t="s">
        <v>6</v>
      </c>
      <c r="B46">
        <v>80696</v>
      </c>
      <c r="C46">
        <v>81064</v>
      </c>
      <c r="D46" t="s">
        <v>87</v>
      </c>
      <c r="E46">
        <v>210.86295300733332</v>
      </c>
      <c r="F46" t="s">
        <v>8</v>
      </c>
      <c r="G46">
        <v>80696</v>
      </c>
      <c r="H46">
        <v>81064</v>
      </c>
      <c r="I46" t="s">
        <v>149</v>
      </c>
      <c r="J46" s="1" t="s">
        <v>153</v>
      </c>
      <c r="K46">
        <v>368</v>
      </c>
      <c r="L46" s="1" t="s">
        <v>152</v>
      </c>
      <c r="M46" t="s">
        <v>157</v>
      </c>
      <c r="N46" t="s">
        <v>162</v>
      </c>
      <c r="W46" s="1"/>
      <c r="X46" s="1"/>
      <c r="Z46" s="1"/>
    </row>
    <row r="47" spans="1:26" x14ac:dyDescent="0.55000000000000004">
      <c r="A47" t="s">
        <v>6</v>
      </c>
      <c r="B47">
        <v>81189</v>
      </c>
      <c r="C47">
        <v>82652</v>
      </c>
      <c r="D47" t="s">
        <v>88</v>
      </c>
      <c r="E47">
        <v>216.81676341900001</v>
      </c>
      <c r="F47" t="s">
        <v>8</v>
      </c>
      <c r="G47">
        <v>81189</v>
      </c>
      <c r="H47">
        <v>82652</v>
      </c>
      <c r="I47" t="s">
        <v>149</v>
      </c>
      <c r="J47" s="1" t="s">
        <v>153</v>
      </c>
      <c r="K47">
        <v>1463</v>
      </c>
      <c r="L47" s="1" t="s">
        <v>152</v>
      </c>
      <c r="M47" t="s">
        <v>157</v>
      </c>
      <c r="N47" t="s">
        <v>161</v>
      </c>
      <c r="W47" s="1"/>
      <c r="X47" s="1"/>
      <c r="Z47" s="1"/>
    </row>
    <row r="48" spans="1:26" x14ac:dyDescent="0.55000000000000004">
      <c r="A48" t="s">
        <v>6</v>
      </c>
      <c r="B48">
        <v>68512</v>
      </c>
      <c r="C48">
        <v>68865</v>
      </c>
      <c r="D48" t="s">
        <v>74</v>
      </c>
      <c r="E48">
        <v>225.03292841533334</v>
      </c>
      <c r="F48" t="s">
        <v>8</v>
      </c>
      <c r="G48">
        <v>68512</v>
      </c>
      <c r="H48">
        <v>68865</v>
      </c>
      <c r="I48" t="s">
        <v>149</v>
      </c>
      <c r="J48" s="1" t="s">
        <v>153</v>
      </c>
      <c r="K48">
        <v>353</v>
      </c>
      <c r="L48" s="1" t="s">
        <v>152</v>
      </c>
      <c r="M48" t="s">
        <v>157</v>
      </c>
      <c r="N48" t="s">
        <v>162</v>
      </c>
      <c r="W48" s="1"/>
      <c r="X48" s="1"/>
      <c r="Z48" s="1"/>
    </row>
    <row r="49" spans="1:26" x14ac:dyDescent="0.55000000000000004">
      <c r="A49" t="s">
        <v>6</v>
      </c>
      <c r="B49">
        <v>94276</v>
      </c>
      <c r="C49">
        <v>94356</v>
      </c>
      <c r="D49" t="s">
        <v>97</v>
      </c>
      <c r="E49">
        <v>226.43670542626668</v>
      </c>
      <c r="F49" t="s">
        <v>8</v>
      </c>
      <c r="G49">
        <v>94276</v>
      </c>
      <c r="H49">
        <v>94356</v>
      </c>
      <c r="I49" t="s">
        <v>149</v>
      </c>
      <c r="J49" s="1" t="s">
        <v>153</v>
      </c>
      <c r="K49">
        <v>80</v>
      </c>
      <c r="L49" s="1" t="s">
        <v>152</v>
      </c>
      <c r="M49" t="s">
        <v>156</v>
      </c>
      <c r="N49" t="s">
        <v>162</v>
      </c>
      <c r="W49" s="1"/>
      <c r="X49" s="1"/>
      <c r="Z49" s="1"/>
    </row>
    <row r="50" spans="1:26" x14ac:dyDescent="0.55000000000000004">
      <c r="A50" t="s">
        <v>6</v>
      </c>
      <c r="B50">
        <v>14021</v>
      </c>
      <c r="C50">
        <v>14770</v>
      </c>
      <c r="D50" t="s">
        <v>23</v>
      </c>
      <c r="E50">
        <v>226.48821028</v>
      </c>
      <c r="F50" t="s">
        <v>8</v>
      </c>
      <c r="G50">
        <v>14021</v>
      </c>
      <c r="H50">
        <v>14770</v>
      </c>
      <c r="I50" t="s">
        <v>149</v>
      </c>
      <c r="J50" s="1" t="s">
        <v>153</v>
      </c>
      <c r="K50">
        <v>749</v>
      </c>
      <c r="L50" s="1" t="s">
        <v>152</v>
      </c>
      <c r="M50" t="s">
        <v>157</v>
      </c>
      <c r="N50" t="s">
        <v>162</v>
      </c>
      <c r="W50" s="1"/>
      <c r="X50" s="1"/>
      <c r="Z50" s="1"/>
    </row>
    <row r="51" spans="1:26" x14ac:dyDescent="0.55000000000000004">
      <c r="A51" t="s">
        <v>6</v>
      </c>
      <c r="B51">
        <v>139855</v>
      </c>
      <c r="C51">
        <v>140650</v>
      </c>
      <c r="D51" t="s">
        <v>133</v>
      </c>
      <c r="E51">
        <v>226.74006857166668</v>
      </c>
      <c r="F51" t="s">
        <v>15</v>
      </c>
      <c r="G51">
        <v>139855</v>
      </c>
      <c r="H51">
        <v>140650</v>
      </c>
      <c r="I51" t="s">
        <v>149</v>
      </c>
      <c r="J51" s="1" t="s">
        <v>153</v>
      </c>
      <c r="K51">
        <v>795</v>
      </c>
      <c r="L51" s="1" t="s">
        <v>152</v>
      </c>
      <c r="M51" t="s">
        <v>157</v>
      </c>
      <c r="N51" t="s">
        <v>161</v>
      </c>
      <c r="W51" s="1"/>
      <c r="X51" s="1"/>
      <c r="Z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All_genes</vt:lpstr>
      <vt:lpstr>HEG_50</vt:lpstr>
      <vt:lpstr>LEG_50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Sutormin</dc:creator>
  <cp:lastModifiedBy>Dmitry Sutormin</cp:lastModifiedBy>
  <dcterms:created xsi:type="dcterms:W3CDTF">2024-07-26T01:11:35Z</dcterms:created>
  <dcterms:modified xsi:type="dcterms:W3CDTF">2026-03-09T05:50:30Z</dcterms:modified>
</cp:coreProperties>
</file>